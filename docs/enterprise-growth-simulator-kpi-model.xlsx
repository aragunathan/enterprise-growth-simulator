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Legend &amp; Baseline" sheetId="1" state="visible" r:id="rId3"/>
    <sheet name="Choice Effects" sheetId="2" state="visible" r:id="rId4"/>
    <sheet name="Delayed Effects" sheetId="3" state="visible" r:id="rId5"/>
    <sheet name="Simulator" sheetId="4" state="visible" r:id="rId6"/>
    <sheet name="Tie-Break Priority"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<sst xmlns="http://schemas.openxmlformats.org/spreadsheetml/2006/main" count="192" uniqueCount="66">
  <si>
    <t xml:space="preserve">Enterprise Growth Simulator — KPI Numeric Model</t>
  </si>
  <si>
    <t xml:space="preserve">Magnitude legend (used throughout Choice Effects and Delayed Effects)</t>
  </si>
  <si>
    <t xml:space="preserve">Label</t>
  </si>
  <si>
    <t xml:space="preserve">Point value</t>
  </si>
  <si>
    <t xml:space="preserve">small</t>
  </si>
  <si>
    <t xml:space="preserve">medium</t>
  </si>
  <si>
    <t xml:space="preserve">large</t>
  </si>
  <si>
    <t xml:space="preserve">All KPIs are 0-100. Values clamp at those bounds — a formula that would push a KPI below 0 or above 100 is capped.</t>
  </si>
  <si>
    <t xml:space="preserve">Live headline trio during play: Revenue Growth, Decision Velocity, Enterprise Friction. All others surface only in the closing report.</t>
  </si>
  <si>
    <t xml:space="preserve">Q1 baseline values (before any choice is applied)</t>
  </si>
  <si>
    <t xml:space="preserve">KPI</t>
  </si>
  <si>
    <t xml:space="preserve">Baseline value</t>
  </si>
  <si>
    <t xml:space="preserve">Revenue Growth</t>
  </si>
  <si>
    <t xml:space="preserve">Cash</t>
  </si>
  <si>
    <t xml:space="preserve">Employee Experience</t>
  </si>
  <si>
    <t xml:space="preserve">Customer Experience</t>
  </si>
  <si>
    <t xml:space="preserve">Compliance</t>
  </si>
  <si>
    <t xml:space="preserve">Baseline Enterprise Friction drift per quarter (independent of choices)</t>
  </si>
  <si>
    <t xml:space="preserve">Represents that some friction is inevitable at this scale, even under good management — even a disciplined playthrough should end with some friction, just less than a reckless one.</t>
  </si>
  <si>
    <t xml:space="preserve">Enterprise Friction</t>
  </si>
  <si>
    <t xml:space="preserve">Baseline values are a first estimate — a mid-scale, already-capable but strained enterprise. Adjust freely; the Simulator sheet recalculates automatically.</t>
  </si>
  <si>
    <t xml:space="preserve">How to use the Simulator tab: type a choice letter (A-D) for each quarter in the blue cells, and watch the 8 KPIs update quarter by quarter, including delayed effects landing automatically.</t>
  </si>
  <si>
    <t xml:space="preserve">Quarter</t>
  </si>
  <si>
    <t xml:space="preserve">Choice</t>
  </si>
  <si>
    <t xml:space="preserve">Innovation</t>
  </si>
  <si>
    <t xml:space="preserve">Decision Velocity</t>
  </si>
  <si>
    <t xml:space="preserve">PriorityScore</t>
  </si>
  <si>
    <t xml:space="preserve">A</t>
  </si>
  <si>
    <t xml:space="preserve">B</t>
  </si>
  <si>
    <t xml:space="preserve">C</t>
  </si>
  <si>
    <t xml:space="preserve">D</t>
  </si>
  <si>
    <t xml:space="preserve">LinkID</t>
  </si>
  <si>
    <t xml:space="preserve">OriginQuarter</t>
  </si>
  <si>
    <t xml:space="preserve">OriginChoice</t>
  </si>
  <si>
    <t xml:space="preserve">TargetQuarter</t>
  </si>
  <si>
    <t xml:space="preserve">Delta</t>
  </si>
  <si>
    <t xml:space="preserve">OriginPickMatches</t>
  </si>
  <si>
    <t xml:space="preserve">Note</t>
  </si>
  <si>
    <t xml:space="preserve">Comp</t>
  </si>
  <si>
    <t xml:space="preserve">Q1-&gt;Q2: clean approvals trail</t>
  </si>
  <si>
    <t xml:space="preserve">Q1-&gt;Q2: informal approvals leave gaps</t>
  </si>
  <si>
    <t xml:space="preserve">EF</t>
  </si>
  <si>
    <t xml:space="preserve">Q1-&gt;Q2: external surge team unfamiliar with governance</t>
  </si>
  <si>
    <t xml:space="preserve">Q2-&gt;Q5: governance ground covered eases e-invoicing</t>
  </si>
  <si>
    <t xml:space="preserve">Q2-&gt;Q5: partial ground covered</t>
  </si>
  <si>
    <t xml:space="preserve">Q2-&gt;Q5: no governance work done, missed the cycle</t>
  </si>
  <si>
    <t xml:space="preserve">Q3-&gt;Q7: clean cross-border structure eases M&amp;A</t>
  </si>
  <si>
    <t xml:space="preserve">Q3-&gt;Q7: informal setup leaves hidden liabilities</t>
  </si>
  <si>
    <t xml:space="preserve">Q4-&gt;Q6: governed AI softens cyber incident</t>
  </si>
  <si>
    <t xml:space="preserve">Q4-&gt;Q6: ungoverned AI/tools widen attack surface</t>
  </si>
  <si>
    <t xml:space="preserve">Q6-&gt;Q8: practiced crisis response</t>
  </si>
  <si>
    <t xml:space="preserve">DV</t>
  </si>
  <si>
    <t xml:space="preserve">Q6-&gt;Q8: still improvising under pressure</t>
  </si>
  <si>
    <t xml:space="preserve">Q7-&gt;Q8: clean integration carries into finale</t>
  </si>
  <si>
    <t xml:space="preserve">Q7-&gt;Q8: still tangled entering finale</t>
  </si>
  <si>
    <t xml:space="preserve">Choice (A-D)</t>
  </si>
  <si>
    <t xml:space="preserve">Baseline</t>
  </si>
  <si>
    <t xml:space="preserve">Net change (Q8 vs baseline)</t>
  </si>
  <si>
    <t xml:space="preserve">Edit the blue Choice cells (B3:B10) with any letter A-D to test a full playthrough.</t>
  </si>
  <si>
    <t xml:space="preserve">Tie-break priority chain (used only when a vote doesn't converge to a plurality)</t>
  </si>
  <si>
    <t xml:space="preserve">Priority order (highest to lowest):</t>
  </si>
  <si>
    <t xml:space="preserve">1. Enterprise Friction (lowest delta wins)  2. Cash (highest)  3. Revenue Growth (highest)  4. Customer Experience (highest)  5. Decision Velocity (highest)  6. Innovation (highest)  7. Compliance (highest)  8. Employee Experience (highest)  9. First-listed option (A&gt;B&gt;C&gt;D) as absolute last resort</t>
  </si>
  <si>
    <t xml:space="preserve">1st</t>
  </si>
  <si>
    <t xml:space="preserve">2nd</t>
  </si>
  <si>
    <t xml:space="preserve">3rd</t>
  </si>
  <si>
    <t xml:space="preserve">4th</t>
  </si>
</sst>
</file>

<file path=xl/styles.xml><?xml version="1.0" encoding="utf-8"?>
<styleSheet xmlns="http://schemas.openxmlformats.org/spreadsheetml/2006/main">
  <numFmts count="2">
    <numFmt numFmtId="164" formatCode="General"/>
    <numFmt numFmtId="165" formatCode="General"/>
  </numFmts>
  <fonts count="8">
    <font>
      <sz val="11"/>
      <color theme="1"/>
      <name val="Calibri"/>
      <family val="2"/>
      <charset val="1"/>
    </font>
    <font>
      <sz val="10"/>
      <name val="Arial"/>
      <family val="0"/>
    </font>
    <font>
      <sz val="10"/>
      <name val="Arial"/>
      <family val="0"/>
    </font>
    <font>
      <sz val="10"/>
      <name val="Arial"/>
      <family val="0"/>
    </font>
    <font>
      <b val="true"/>
      <sz val="14"/>
      <name val="Cambria"/>
      <family val="0"/>
      <charset val="1"/>
    </font>
    <font>
      <b val="true"/>
      <sz val="11"/>
      <name val="Cambria"/>
      <family val="0"/>
      <charset val="1"/>
    </font>
    <font>
      <sz val="11"/>
      <color rgb="FF0000FF"/>
      <name val="Cambria"/>
      <family val="0"/>
      <charset val="1"/>
    </font>
    <font>
      <b val="true"/>
      <sz val="13"/>
      <name val="Cambria"/>
      <family val="0"/>
      <charset val="1"/>
    </font>
  </fonts>
  <fills count="4">
    <fill>
      <patternFill patternType="none"/>
    </fill>
    <fill>
      <patternFill patternType="gray125"/>
    </fill>
    <fill>
      <patternFill patternType="solid">
        <fgColor rgb="FFFFFF00"/>
        <bgColor rgb="FFFFFF00"/>
      </patternFill>
    </fill>
    <fill>
      <patternFill patternType="solid">
        <fgColor rgb="FFD9D9D9"/>
        <bgColor rgb="FFC0C0C0"/>
      </patternFill>
    </fill>
  </fills>
  <borders count="2">
    <border diagonalUp="false" diagonalDown="false">
      <left/>
      <right/>
      <top/>
      <bottom/>
      <diagonal/>
    </border>
    <border diagonalUp="false" diagonalDown="false">
      <left style="thin">
        <color rgb="FFAAAAAA"/>
      </left>
      <right style="thin">
        <color rgb="FFAAAAAA"/>
      </right>
      <top style="thin">
        <color rgb="FFAAAAAA"/>
      </top>
      <bottom style="thin">
        <color rgb="FFAAAAAA"/>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0" fillId="0" borderId="0" xfId="0" applyFont="true" applyBorder="true" applyAlignment="true" applyProtection="false">
      <alignment horizontal="general" vertical="bottom" textRotation="0" wrapText="true" indent="0" shrinkToFit="false"/>
      <protection locked="true" hidden="false"/>
    </xf>
    <xf numFmtId="164" fontId="6" fillId="2" borderId="0" xfId="0" applyFont="true" applyBorder="false" applyAlignment="true" applyProtection="false">
      <alignment horizontal="general" vertical="bottom" textRotation="0" wrapText="false" indent="0" shrinkToFit="false"/>
      <protection locked="true" hidden="false"/>
    </xf>
    <xf numFmtId="164" fontId="0" fillId="0" borderId="0" xfId="0" applyFont="true" applyBorder="true" applyAlignment="true" applyProtection="false">
      <alignment horizontal="general" vertical="bottom" textRotation="0" wrapText="false" indent="0" shrinkToFit="false"/>
      <protection locked="true" hidden="false"/>
    </xf>
    <xf numFmtId="164" fontId="5" fillId="3" borderId="1" xfId="0" applyFont="true" applyBorder="true" applyAlignment="true" applyProtection="false">
      <alignment horizontal="general" vertical="bottom" textRotation="0" wrapText="false" indent="0" shrinkToFit="false"/>
      <protection locked="true" hidden="false"/>
    </xf>
    <xf numFmtId="164" fontId="0" fillId="0" borderId="1" xfId="0" applyFont="false" applyBorder="true" applyAlignment="true" applyProtection="false">
      <alignment horizontal="general" vertical="bottom" textRotation="0" wrapText="false" indent="0" shrinkToFit="false"/>
      <protection locked="true" hidden="false"/>
    </xf>
    <xf numFmtId="165" fontId="0" fillId="0" borderId="1" xfId="0" applyFont="false" applyBorder="true" applyAlignment="true" applyProtection="false">
      <alignment horizontal="general" vertical="bottom" textRotation="0" wrapText="false" indent="0" shrinkToFit="false"/>
      <protection locked="true" hidden="false"/>
    </xf>
    <xf numFmtId="165" fontId="6" fillId="2" borderId="1" xfId="0" applyFont="true" applyBorder="true" applyAlignment="true" applyProtection="false">
      <alignment horizontal="general" vertical="bottom" textRotation="0" wrapText="false" indent="0" shrinkToFit="false"/>
      <protection locked="true" hidden="false"/>
    </xf>
    <xf numFmtId="165" fontId="5" fillId="0" borderId="1" xfId="0" applyFont="true" applyBorder="true" applyAlignment="tru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bottom" textRotation="0" wrapText="false" indent="0" shrinkToFit="false"/>
      <protection locked="true" hidden="false"/>
    </xf>
    <xf numFmtId="164" fontId="5" fillId="3"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AAAAAA"/>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8"/>
    <col collapsed="false" customWidth="true" hidden="false" outlineLevel="0" max="2" min="2" style="1" width="14"/>
  </cols>
  <sheetData>
    <row r="1" customFormat="false" ht="17.25" hidden="false" customHeight="true" outlineLevel="0" collapsed="false">
      <c r="A1" s="2" t="s">
        <v>0</v>
      </c>
    </row>
    <row r="3" customFormat="false" ht="15" hidden="false" customHeight="true" outlineLevel="0" collapsed="false">
      <c r="A3" s="3" t="s">
        <v>1</v>
      </c>
    </row>
    <row r="4" customFormat="false" ht="15" hidden="false" customHeight="true" outlineLevel="0" collapsed="false">
      <c r="A4" s="3" t="s">
        <v>2</v>
      </c>
      <c r="B4" s="3" t="s">
        <v>3</v>
      </c>
    </row>
    <row r="5" customFormat="false" ht="15" hidden="false" customHeight="true" outlineLevel="0" collapsed="false">
      <c r="A5" s="1" t="s">
        <v>4</v>
      </c>
      <c r="B5" s="1" t="n">
        <v>5</v>
      </c>
    </row>
    <row r="6" customFormat="false" ht="15" hidden="false" customHeight="true" outlineLevel="0" collapsed="false">
      <c r="A6" s="1" t="s">
        <v>5</v>
      </c>
      <c r="B6" s="1" t="n">
        <v>10</v>
      </c>
    </row>
    <row r="7" customFormat="false" ht="15" hidden="false" customHeight="true" outlineLevel="0" collapsed="false">
      <c r="A7" s="1" t="s">
        <v>6</v>
      </c>
      <c r="B7" s="1" t="n">
        <v>15</v>
      </c>
    </row>
    <row r="8" customFormat="false" ht="27.75" hidden="false" customHeight="true" outlineLevel="0" collapsed="false">
      <c r="A8" s="4" t="s">
        <v>7</v>
      </c>
      <c r="B8" s="4"/>
      <c r="C8" s="4"/>
      <c r="D8" s="4"/>
      <c r="E8" s="4"/>
      <c r="F8" s="4"/>
      <c r="G8" s="4"/>
      <c r="H8" s="4"/>
    </row>
    <row r="9" customFormat="false" ht="27.75" hidden="false" customHeight="true" outlineLevel="0" collapsed="false">
      <c r="A9" s="4" t="s">
        <v>8</v>
      </c>
      <c r="B9" s="4"/>
      <c r="C9" s="4"/>
      <c r="D9" s="4"/>
      <c r="E9" s="4"/>
      <c r="F9" s="4"/>
      <c r="G9" s="4"/>
      <c r="H9" s="4"/>
    </row>
    <row r="11" customFormat="false" ht="15" hidden="false" customHeight="true" outlineLevel="0" collapsed="false">
      <c r="A11" s="3" t="s">
        <v>9</v>
      </c>
    </row>
    <row r="12" customFormat="false" ht="15" hidden="false" customHeight="true" outlineLevel="0" collapsed="false">
      <c r="A12" s="3" t="s">
        <v>10</v>
      </c>
      <c r="B12" s="3" t="s">
        <v>11</v>
      </c>
    </row>
    <row r="13" customFormat="false" ht="15" hidden="false" customHeight="true" outlineLevel="0" collapsed="false">
      <c r="A13" s="1" t="s">
        <v>12</v>
      </c>
      <c r="B13" s="5" t="n">
        <v>55</v>
      </c>
    </row>
    <row r="14" customFormat="false" ht="15" hidden="false" customHeight="true" outlineLevel="0" collapsed="false">
      <c r="A14" s="1" t="s">
        <v>13</v>
      </c>
      <c r="B14" s="5" t="n">
        <v>70</v>
      </c>
    </row>
    <row r="15" customFormat="false" ht="15" hidden="false" customHeight="true" outlineLevel="0" collapsed="false">
      <c r="A15" s="1" t="s">
        <v>14</v>
      </c>
      <c r="B15" s="5" t="n">
        <v>55</v>
      </c>
    </row>
    <row r="16" customFormat="false" ht="15" hidden="false" customHeight="true" outlineLevel="0" collapsed="false">
      <c r="A16" s="1" t="s">
        <v>15</v>
      </c>
      <c r="B16" s="5" t="n">
        <v>60</v>
      </c>
    </row>
    <row r="17" customFormat="false" ht="15" hidden="false" customHeight="true" outlineLevel="0" collapsed="false">
      <c r="A17" s="1" t="s">
        <v>16</v>
      </c>
      <c r="B17" s="5" t="n">
        <v>50</v>
      </c>
    </row>
    <row r="18" customFormat="false" ht="15" hidden="false" customHeight="true" outlineLevel="0" collapsed="false">
      <c r="A18" s="4" t="s">
        <v>17</v>
      </c>
      <c r="B18" s="4"/>
      <c r="C18" s="4"/>
      <c r="D18" s="5" t="n">
        <v>3</v>
      </c>
    </row>
    <row r="19" customFormat="false" ht="15" hidden="false" customHeight="true" outlineLevel="0" collapsed="false">
      <c r="A19" s="6" t="s">
        <v>18</v>
      </c>
      <c r="B19" s="6"/>
      <c r="C19" s="6"/>
      <c r="D19" s="6"/>
      <c r="E19" s="6"/>
      <c r="F19" s="6"/>
      <c r="G19" s="6"/>
      <c r="H19" s="6"/>
    </row>
    <row r="20" customFormat="false" ht="15" hidden="false" customHeight="true" outlineLevel="0" collapsed="false">
      <c r="A20" s="1" t="s">
        <v>19</v>
      </c>
      <c r="B20" s="5" t="n">
        <v>35</v>
      </c>
    </row>
    <row r="22" customFormat="false" ht="27.75" hidden="false" customHeight="true" outlineLevel="0" collapsed="false">
      <c r="A22" s="4" t="s">
        <v>20</v>
      </c>
      <c r="B22" s="4"/>
      <c r="C22" s="4"/>
      <c r="D22" s="4"/>
      <c r="E22" s="4"/>
      <c r="F22" s="4"/>
      <c r="G22" s="4"/>
      <c r="H22" s="4"/>
    </row>
    <row r="24" customFormat="false" ht="27.75" hidden="false" customHeight="true" outlineLevel="0" collapsed="false">
      <c r="A24" s="4" t="s">
        <v>21</v>
      </c>
      <c r="B24" s="4"/>
      <c r="C24" s="4"/>
      <c r="D24" s="4"/>
      <c r="E24" s="4"/>
      <c r="F24" s="4"/>
      <c r="G24" s="4"/>
      <c r="H24" s="4"/>
    </row>
  </sheetData>
  <mergeCells count="6">
    <mergeCell ref="A8:H8"/>
    <mergeCell ref="A9:H9"/>
    <mergeCell ref="A18:C18"/>
    <mergeCell ref="A19:H19"/>
    <mergeCell ref="A22:H22"/>
    <mergeCell ref="A24:H2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1" style="1" width="10"/>
    <col collapsed="false" customWidth="true" hidden="false" outlineLevel="0" max="10" min="3" style="1" width="16"/>
  </cols>
  <sheetData>
    <row r="1" customFormat="false" ht="15" hidden="false" customHeight="true" outlineLevel="0" collapsed="false">
      <c r="A1" s="7" t="s">
        <v>22</v>
      </c>
      <c r="B1" s="7" t="s">
        <v>23</v>
      </c>
      <c r="C1" s="7" t="s">
        <v>12</v>
      </c>
      <c r="D1" s="7" t="s">
        <v>13</v>
      </c>
      <c r="E1" s="7" t="s">
        <v>14</v>
      </c>
      <c r="F1" s="7" t="s">
        <v>15</v>
      </c>
      <c r="G1" s="7" t="s">
        <v>16</v>
      </c>
      <c r="H1" s="7" t="s">
        <v>24</v>
      </c>
      <c r="I1" s="7" t="s">
        <v>25</v>
      </c>
      <c r="J1" s="7" t="s">
        <v>19</v>
      </c>
      <c r="K1" s="3" t="s">
        <v>26</v>
      </c>
    </row>
    <row r="2" customFormat="false" ht="15" hidden="false" customHeight="true" outlineLevel="0" collapsed="false">
      <c r="A2" s="8" t="n">
        <v>1</v>
      </c>
      <c r="B2" s="8" t="s">
        <v>27</v>
      </c>
      <c r="C2" s="8" t="n">
        <v>0</v>
      </c>
      <c r="D2" s="8" t="n">
        <v>-10</v>
      </c>
      <c r="E2" s="8" t="n">
        <v>0</v>
      </c>
      <c r="F2" s="8" t="n">
        <v>0</v>
      </c>
      <c r="G2" s="8" t="n">
        <v>0</v>
      </c>
      <c r="H2" s="8" t="n">
        <v>0</v>
      </c>
      <c r="I2" s="8" t="n">
        <v>10</v>
      </c>
      <c r="J2" s="8" t="n">
        <v>-5</v>
      </c>
      <c r="K2" s="1" t="n">
        <f aca="false">(-J2*1E+024)+(D2*1E+021)+(C2*1E+018)+(F2*1000000000000000)+(I2*1000000000000)+(H2*1000000000)+(G2*1000000)+(E2*1000)+(IF($B2="A",0.4,IF($B2="B",0.3,IF($B2="C",0.2,0.1))))</f>
        <v>4.99000000001E+024</v>
      </c>
    </row>
    <row r="3" customFormat="false" ht="15" hidden="false" customHeight="true" outlineLevel="0" collapsed="false">
      <c r="A3" s="8" t="n">
        <v>1</v>
      </c>
      <c r="B3" s="8" t="s">
        <v>28</v>
      </c>
      <c r="C3" s="8" t="n">
        <v>0</v>
      </c>
      <c r="D3" s="8" t="n">
        <v>0</v>
      </c>
      <c r="E3" s="8" t="n">
        <v>0</v>
      </c>
      <c r="F3" s="8" t="n">
        <v>0</v>
      </c>
      <c r="G3" s="8" t="n">
        <v>-5</v>
      </c>
      <c r="H3" s="8" t="n">
        <v>0</v>
      </c>
      <c r="I3" s="8" t="n">
        <v>15</v>
      </c>
      <c r="J3" s="8" t="n">
        <v>5</v>
      </c>
      <c r="K3" s="1" t="n">
        <f aca="false">(-J3*1E+024)+(D3*1E+021)+(C3*1E+018)+(F3*1000000000000000)+(I3*1000000000000)+(H3*1000000000)+(G3*1000000)+(E3*1000)+(IF($B3="A",0.4,IF($B3="B",0.3,IF($B3="C",0.2,0.1))))</f>
        <v>-4.999999999985E+024</v>
      </c>
    </row>
    <row r="4" customFormat="false" ht="15" hidden="false" customHeight="true" outlineLevel="0" collapsed="false">
      <c r="A4" s="8" t="n">
        <v>1</v>
      </c>
      <c r="B4" s="8" t="s">
        <v>29</v>
      </c>
      <c r="C4" s="8" t="n">
        <v>-5</v>
      </c>
      <c r="D4" s="8" t="n">
        <v>0</v>
      </c>
      <c r="E4" s="8" t="n">
        <v>0</v>
      </c>
      <c r="F4" s="8" t="n">
        <v>0</v>
      </c>
      <c r="G4" s="8" t="n">
        <v>0</v>
      </c>
      <c r="H4" s="8" t="n">
        <v>0</v>
      </c>
      <c r="I4" s="8" t="n">
        <v>0</v>
      </c>
      <c r="J4" s="8" t="n">
        <v>-10</v>
      </c>
      <c r="K4" s="1" t="n">
        <f aca="false">(-J4*1E+024)+(D4*1E+021)+(C4*1E+018)+(F4*1000000000000000)+(I4*1000000000000)+(H4*1000000000)+(G4*1000000)+(E4*1000)+(IF($B4="A",0.4,IF($B4="B",0.3,IF($B4="C",0.2,0.1))))</f>
        <v>9.999995E+024</v>
      </c>
    </row>
    <row r="5" customFormat="false" ht="15" hidden="false" customHeight="true" outlineLevel="0" collapsed="false">
      <c r="A5" s="8" t="n">
        <v>1</v>
      </c>
      <c r="B5" s="8" t="s">
        <v>30</v>
      </c>
      <c r="C5" s="8" t="n">
        <v>5</v>
      </c>
      <c r="D5" s="8" t="n">
        <v>-10</v>
      </c>
      <c r="E5" s="8" t="n">
        <v>0</v>
      </c>
      <c r="F5" s="8" t="n">
        <v>0</v>
      </c>
      <c r="G5" s="8" t="n">
        <v>0</v>
      </c>
      <c r="H5" s="8" t="n">
        <v>0</v>
      </c>
      <c r="I5" s="8" t="n">
        <v>0</v>
      </c>
      <c r="J5" s="8" t="n">
        <v>5</v>
      </c>
      <c r="K5" s="1" t="n">
        <f aca="false">(-J5*1E+024)+(D5*1E+021)+(C5*1E+018)+(F5*1000000000000000)+(I5*1000000000000)+(H5*1000000000)+(G5*1000000)+(E5*1000)+(IF($B5="A",0.4,IF($B5="B",0.3,IF($B5="C",0.2,0.1))))</f>
        <v>-5.009995E+024</v>
      </c>
    </row>
    <row r="6" customFormat="false" ht="15" hidden="false" customHeight="true" outlineLevel="0" collapsed="false">
      <c r="A6" s="8" t="n">
        <v>2</v>
      </c>
      <c r="B6" s="8" t="s">
        <v>27</v>
      </c>
      <c r="C6" s="8" t="n">
        <v>10</v>
      </c>
      <c r="D6" s="8" t="n">
        <v>-10</v>
      </c>
      <c r="E6" s="8" t="n">
        <v>0</v>
      </c>
      <c r="F6" s="8" t="n">
        <v>0</v>
      </c>
      <c r="G6" s="8" t="n">
        <v>10</v>
      </c>
      <c r="H6" s="8" t="n">
        <v>0</v>
      </c>
      <c r="I6" s="8" t="n">
        <v>0</v>
      </c>
      <c r="J6" s="8" t="n">
        <v>0</v>
      </c>
      <c r="K6" s="1" t="n">
        <f aca="false">(-J6*1E+024)+(D6*1E+021)+(C6*1E+018)+(F6*1000000000000000)+(I6*1000000000000)+(H6*1000000000)+(G6*1000000)+(E6*1000)+(IF($B6="A",0.4,IF($B6="B",0.3,IF($B6="C",0.2,0.1))))</f>
        <v>-9.98999999999999E+021</v>
      </c>
    </row>
    <row r="7" customFormat="false" ht="15" hidden="false" customHeight="true" outlineLevel="0" collapsed="false">
      <c r="A7" s="8" t="n">
        <v>2</v>
      </c>
      <c r="B7" s="8" t="s">
        <v>28</v>
      </c>
      <c r="C7" s="8" t="n">
        <v>-15</v>
      </c>
      <c r="D7" s="8" t="n">
        <v>0</v>
      </c>
      <c r="E7" s="8" t="n">
        <v>0</v>
      </c>
      <c r="F7" s="8" t="n">
        <v>0</v>
      </c>
      <c r="G7" s="8" t="n">
        <v>10</v>
      </c>
      <c r="H7" s="8" t="n">
        <v>0</v>
      </c>
      <c r="I7" s="8" t="n">
        <v>0</v>
      </c>
      <c r="J7" s="8" t="n">
        <v>0</v>
      </c>
      <c r="K7" s="1" t="n">
        <f aca="false">(-J7*1E+024)+(D7*1E+021)+(C7*1E+018)+(F7*1000000000000000)+(I7*1000000000000)+(H7*1000000000)+(G7*1000000)+(E7*1000)+(IF($B7="A",0.4,IF($B7="B",0.3,IF($B7="C",0.2,0.1))))</f>
        <v>-1.499999999999E+019</v>
      </c>
    </row>
    <row r="8" customFormat="false" ht="15" hidden="false" customHeight="true" outlineLevel="0" collapsed="false">
      <c r="A8" s="8" t="n">
        <v>2</v>
      </c>
      <c r="B8" s="8" t="s">
        <v>29</v>
      </c>
      <c r="C8" s="8" t="n">
        <v>0</v>
      </c>
      <c r="D8" s="8" t="n">
        <v>0</v>
      </c>
      <c r="E8" s="8" t="n">
        <v>0</v>
      </c>
      <c r="F8" s="8" t="n">
        <v>0</v>
      </c>
      <c r="G8" s="8" t="n">
        <v>15</v>
      </c>
      <c r="H8" s="8" t="n">
        <v>0</v>
      </c>
      <c r="I8" s="8" t="n">
        <v>-10</v>
      </c>
      <c r="J8" s="8" t="n">
        <v>0</v>
      </c>
      <c r="K8" s="1" t="n">
        <f aca="false">(-J8*1E+024)+(D8*1E+021)+(C8*1E+018)+(F8*1000000000000000)+(I8*1000000000000)+(H8*1000000000)+(G8*1000000)+(E8*1000)+(IF($B8="A",0.4,IF($B8="B",0.3,IF($B8="C",0.2,0.1))))</f>
        <v>-9999984999999.8</v>
      </c>
    </row>
    <row r="9" customFormat="false" ht="15" hidden="false" customHeight="true" outlineLevel="0" collapsed="false">
      <c r="A9" s="8" t="n">
        <v>2</v>
      </c>
      <c r="B9" s="8" t="s">
        <v>30</v>
      </c>
      <c r="C9" s="8" t="n">
        <v>5</v>
      </c>
      <c r="D9" s="8" t="n">
        <v>0</v>
      </c>
      <c r="E9" s="8" t="n">
        <v>0</v>
      </c>
      <c r="F9" s="8" t="n">
        <v>0</v>
      </c>
      <c r="G9" s="8" t="n">
        <v>10</v>
      </c>
      <c r="H9" s="8" t="n">
        <v>0</v>
      </c>
      <c r="I9" s="8" t="n">
        <v>0</v>
      </c>
      <c r="J9" s="8" t="n">
        <v>-5</v>
      </c>
      <c r="K9" s="1" t="n">
        <f aca="false">(-J9*1E+024)+(D9*1E+021)+(C9*1E+018)+(F9*1000000000000000)+(I9*1000000000000)+(H9*1000000000)+(G9*1000000)+(E9*1000)+(IF($B9="A",0.4,IF($B9="B",0.3,IF($B9="C",0.2,0.1))))</f>
        <v>5.000005E+024</v>
      </c>
    </row>
    <row r="10" customFormat="false" ht="15" hidden="false" customHeight="true" outlineLevel="0" collapsed="false">
      <c r="A10" s="8" t="n">
        <v>3</v>
      </c>
      <c r="B10" s="8" t="s">
        <v>27</v>
      </c>
      <c r="C10" s="8" t="n">
        <v>15</v>
      </c>
      <c r="D10" s="8" t="n">
        <v>-15</v>
      </c>
      <c r="E10" s="8" t="n">
        <v>0</v>
      </c>
      <c r="F10" s="8" t="n">
        <v>0</v>
      </c>
      <c r="G10" s="8" t="n">
        <v>0</v>
      </c>
      <c r="H10" s="8" t="n">
        <v>0</v>
      </c>
      <c r="I10" s="8" t="n">
        <v>0</v>
      </c>
      <c r="J10" s="8" t="n">
        <v>10</v>
      </c>
      <c r="K10" s="1" t="n">
        <f aca="false">(-J10*1E+024)+(D10*1E+021)+(C10*1E+018)+(F10*1000000000000000)+(I10*1000000000000)+(H10*1000000000)+(G10*1000000)+(E10*1000)+(IF($B10="A",0.4,IF($B10="B",0.3,IF($B10="C",0.2,0.1))))</f>
        <v>-1.0014985E+025</v>
      </c>
    </row>
    <row r="11" customFormat="false" ht="15" hidden="false" customHeight="true" outlineLevel="0" collapsed="false">
      <c r="A11" s="8" t="n">
        <v>3</v>
      </c>
      <c r="B11" s="8" t="s">
        <v>28</v>
      </c>
      <c r="C11" s="8" t="n">
        <v>5</v>
      </c>
      <c r="D11" s="8" t="n">
        <v>0</v>
      </c>
      <c r="E11" s="8" t="n">
        <v>0</v>
      </c>
      <c r="F11" s="8" t="n">
        <v>0</v>
      </c>
      <c r="G11" s="8" t="n">
        <v>-10</v>
      </c>
      <c r="H11" s="8" t="n">
        <v>0</v>
      </c>
      <c r="I11" s="8" t="n">
        <v>0</v>
      </c>
      <c r="J11" s="8" t="n">
        <v>0</v>
      </c>
      <c r="K11" s="1" t="n">
        <f aca="false">(-J11*1E+024)+(D11*1E+021)+(C11*1E+018)+(F11*1000000000000000)+(I11*1000000000000)+(H11*1000000000)+(G11*1000000)+(E11*1000)+(IF($B11="A",0.4,IF($B11="B",0.3,IF($B11="C",0.2,0.1))))</f>
        <v>4.99999999999E+018</v>
      </c>
    </row>
    <row r="12" customFormat="false" ht="15" hidden="false" customHeight="true" outlineLevel="0" collapsed="false">
      <c r="A12" s="8" t="n">
        <v>3</v>
      </c>
      <c r="B12" s="8" t="s">
        <v>29</v>
      </c>
      <c r="C12" s="8" t="n">
        <v>10</v>
      </c>
      <c r="D12" s="8" t="n">
        <v>-5</v>
      </c>
      <c r="E12" s="8" t="n">
        <v>0</v>
      </c>
      <c r="F12" s="8" t="n">
        <v>0</v>
      </c>
      <c r="G12" s="8" t="n">
        <v>0</v>
      </c>
      <c r="H12" s="8" t="n">
        <v>0</v>
      </c>
      <c r="I12" s="8" t="n">
        <v>-5</v>
      </c>
      <c r="J12" s="8" t="n">
        <v>0</v>
      </c>
      <c r="K12" s="1" t="n">
        <f aca="false">(-J12*1E+024)+(D12*1E+021)+(C12*1E+018)+(F12*1000000000000000)+(I12*1000000000000)+(H12*1000000000)+(G12*1000000)+(E12*1000)+(IF($B12="A",0.4,IF($B12="B",0.3,IF($B12="C",0.2,0.1))))</f>
        <v>-4.990000005E+021</v>
      </c>
    </row>
    <row r="13" customFormat="false" ht="15" hidden="false" customHeight="true" outlineLevel="0" collapsed="false">
      <c r="A13" s="8" t="n">
        <v>3</v>
      </c>
      <c r="B13" s="8" t="s">
        <v>30</v>
      </c>
      <c r="C13" s="8" t="n">
        <v>-10</v>
      </c>
      <c r="D13" s="8" t="n">
        <v>0</v>
      </c>
      <c r="E13" s="8" t="n">
        <v>0</v>
      </c>
      <c r="F13" s="8" t="n">
        <v>0</v>
      </c>
      <c r="G13" s="8" t="n">
        <v>0</v>
      </c>
      <c r="H13" s="8" t="n">
        <v>0</v>
      </c>
      <c r="I13" s="8" t="n">
        <v>0</v>
      </c>
      <c r="J13" s="8" t="n">
        <v>-5</v>
      </c>
      <c r="K13" s="1" t="n">
        <f aca="false">(-J13*1E+024)+(D13*1E+021)+(C13*1E+018)+(F13*1000000000000000)+(I13*1000000000000)+(H13*1000000000)+(G13*1000000)+(E13*1000)+(IF($B13="A",0.4,IF($B13="B",0.3,IF($B13="C",0.2,0.1))))</f>
        <v>4.99999E+024</v>
      </c>
    </row>
    <row r="14" customFormat="false" ht="15" hidden="false" customHeight="true" outlineLevel="0" collapsed="false">
      <c r="A14" s="8" t="n">
        <v>4</v>
      </c>
      <c r="B14" s="8" t="s">
        <v>27</v>
      </c>
      <c r="C14" s="8" t="n">
        <v>0</v>
      </c>
      <c r="D14" s="8" t="n">
        <v>0</v>
      </c>
      <c r="E14" s="8" t="n">
        <v>0</v>
      </c>
      <c r="F14" s="8" t="n">
        <v>0</v>
      </c>
      <c r="G14" s="8" t="n">
        <v>10</v>
      </c>
      <c r="H14" s="8" t="n">
        <v>-5</v>
      </c>
      <c r="I14" s="8" t="n">
        <v>0</v>
      </c>
      <c r="J14" s="8" t="n">
        <v>-5</v>
      </c>
      <c r="K14" s="1" t="n">
        <f aca="false">(-J14*1E+024)+(D14*1E+021)+(C14*1E+018)+(F14*1000000000000000)+(I14*1000000000000)+(H14*1000000000)+(G14*1000000)+(E14*1000)+(IF($B14="A",0.4,IF($B14="B",0.3,IF($B14="C",0.2,0.1))))</f>
        <v>4.99999999999999E+024</v>
      </c>
    </row>
    <row r="15" customFormat="false" ht="15" hidden="false" customHeight="true" outlineLevel="0" collapsed="false">
      <c r="A15" s="8" t="n">
        <v>4</v>
      </c>
      <c r="B15" s="8" t="s">
        <v>28</v>
      </c>
      <c r="C15" s="8" t="n">
        <v>5</v>
      </c>
      <c r="D15" s="8" t="n">
        <v>0</v>
      </c>
      <c r="E15" s="8" t="n">
        <v>0</v>
      </c>
      <c r="F15" s="8" t="n">
        <v>0</v>
      </c>
      <c r="G15" s="8" t="n">
        <v>-10</v>
      </c>
      <c r="H15" s="8" t="n">
        <v>15</v>
      </c>
      <c r="I15" s="8" t="n">
        <v>0</v>
      </c>
      <c r="J15" s="8" t="n">
        <v>10</v>
      </c>
      <c r="K15" s="1" t="n">
        <f aca="false">(-J15*1E+024)+(D15*1E+021)+(C15*1E+018)+(F15*1000000000000000)+(I15*1000000000000)+(H15*1000000000)+(G15*1000000)+(E15*1000)+(IF($B15="A",0.4,IF($B15="B",0.3,IF($B15="C",0.2,0.1))))</f>
        <v>-9.99999499999998E+024</v>
      </c>
    </row>
    <row r="16" customFormat="false" ht="15" hidden="false" customHeight="true" outlineLevel="0" collapsed="false">
      <c r="A16" s="8" t="n">
        <v>4</v>
      </c>
      <c r="B16" s="8" t="s">
        <v>29</v>
      </c>
      <c r="C16" s="8" t="n">
        <v>5</v>
      </c>
      <c r="D16" s="8" t="n">
        <v>-15</v>
      </c>
      <c r="E16" s="8" t="n">
        <v>0</v>
      </c>
      <c r="F16" s="8" t="n">
        <v>0</v>
      </c>
      <c r="G16" s="8" t="n">
        <v>10</v>
      </c>
      <c r="H16" s="8" t="n">
        <v>10</v>
      </c>
      <c r="I16" s="8" t="n">
        <v>0</v>
      </c>
      <c r="J16" s="8" t="n">
        <v>0</v>
      </c>
      <c r="K16" s="1" t="n">
        <f aca="false">(-J16*1E+024)+(D16*1E+021)+(C16*1E+018)+(F16*1000000000000000)+(I16*1000000000000)+(H16*1000000000)+(G16*1000000)+(E16*1000)+(IF($B16="A",0.4,IF($B16="B",0.3,IF($B16="C",0.2,0.1))))</f>
        <v>-1.499499999999E+022</v>
      </c>
    </row>
    <row r="17" customFormat="false" ht="15" hidden="false" customHeight="true" outlineLevel="0" collapsed="false">
      <c r="A17" s="8" t="n">
        <v>4</v>
      </c>
      <c r="B17" s="8" t="s">
        <v>30</v>
      </c>
      <c r="C17" s="8" t="n">
        <v>-5</v>
      </c>
      <c r="D17" s="8" t="n">
        <v>0</v>
      </c>
      <c r="E17" s="8" t="n">
        <v>0</v>
      </c>
      <c r="F17" s="8" t="n">
        <v>0</v>
      </c>
      <c r="G17" s="8" t="n">
        <v>0</v>
      </c>
      <c r="H17" s="8" t="n">
        <v>10</v>
      </c>
      <c r="I17" s="8" t="n">
        <v>5</v>
      </c>
      <c r="J17" s="8" t="n">
        <v>15</v>
      </c>
      <c r="K17" s="1" t="n">
        <f aca="false">(-J17*1E+024)+(D17*1E+021)+(C17*1E+018)+(F17*1000000000000000)+(I17*1000000000000)+(H17*1000000000)+(G17*1000000)+(E17*1000)+(IF($B17="A",0.4,IF($B17="B",0.3,IF($B17="C",0.2,0.1))))</f>
        <v>-1.5000004999995E+025</v>
      </c>
    </row>
    <row r="18" customFormat="false" ht="15" hidden="false" customHeight="true" outlineLevel="0" collapsed="false">
      <c r="A18" s="8" t="n">
        <v>5</v>
      </c>
      <c r="B18" s="8" t="s">
        <v>27</v>
      </c>
      <c r="C18" s="8" t="n">
        <v>5</v>
      </c>
      <c r="D18" s="8" t="n">
        <v>-10</v>
      </c>
      <c r="E18" s="8" t="n">
        <v>0</v>
      </c>
      <c r="F18" s="8" t="n">
        <v>0</v>
      </c>
      <c r="G18" s="8" t="n">
        <v>15</v>
      </c>
      <c r="H18" s="8" t="n">
        <v>0</v>
      </c>
      <c r="I18" s="8" t="n">
        <v>-5</v>
      </c>
      <c r="J18" s="8" t="n">
        <v>0</v>
      </c>
      <c r="K18" s="1" t="n">
        <f aca="false">(-J18*1E+024)+(D18*1E+021)+(C18*1E+018)+(F18*1000000000000000)+(I18*1000000000000)+(H18*1000000000)+(G18*1000000)+(E18*1000)+(IF($B18="A",0.4,IF($B18="B",0.3,IF($B18="C",0.2,0.1))))</f>
        <v>-9.99500000499999E+021</v>
      </c>
    </row>
    <row r="19" customFormat="false" ht="15" hidden="false" customHeight="true" outlineLevel="0" collapsed="false">
      <c r="A19" s="8" t="n">
        <v>5</v>
      </c>
      <c r="B19" s="8" t="s">
        <v>28</v>
      </c>
      <c r="C19" s="8" t="n">
        <v>0</v>
      </c>
      <c r="D19" s="8" t="n">
        <v>-5</v>
      </c>
      <c r="E19" s="8" t="n">
        <v>0</v>
      </c>
      <c r="F19" s="8" t="n">
        <v>0</v>
      </c>
      <c r="G19" s="8" t="n">
        <v>5</v>
      </c>
      <c r="H19" s="8" t="n">
        <v>0</v>
      </c>
      <c r="I19" s="8" t="n">
        <v>0</v>
      </c>
      <c r="J19" s="8" t="n">
        <v>10</v>
      </c>
      <c r="K19" s="1" t="n">
        <f aca="false">(-J19*1E+024)+(D19*1E+021)+(C19*1E+018)+(F19*1000000000000000)+(I19*1000000000000)+(H19*1000000000)+(G19*1000000)+(E19*1000)+(IF($B19="A",0.4,IF($B19="B",0.3,IF($B19="C",0.2,0.1))))</f>
        <v>-1.0005E+025</v>
      </c>
    </row>
    <row r="20" customFormat="false" ht="15" hidden="false" customHeight="true" outlineLevel="0" collapsed="false">
      <c r="A20" s="8" t="n">
        <v>5</v>
      </c>
      <c r="B20" s="8" t="s">
        <v>29</v>
      </c>
      <c r="C20" s="8" t="n">
        <v>0</v>
      </c>
      <c r="D20" s="8" t="n">
        <v>-15</v>
      </c>
      <c r="E20" s="8" t="n">
        <v>0</v>
      </c>
      <c r="F20" s="8" t="n">
        <v>0</v>
      </c>
      <c r="G20" s="8" t="n">
        <v>15</v>
      </c>
      <c r="H20" s="8" t="n">
        <v>0</v>
      </c>
      <c r="I20" s="8" t="n">
        <v>5</v>
      </c>
      <c r="J20" s="8" t="n">
        <v>0</v>
      </c>
      <c r="K20" s="1" t="n">
        <f aca="false">(-J20*1E+024)+(D20*1E+021)+(C20*1E+018)+(F20*1000000000000000)+(I20*1000000000000)+(H20*1000000000)+(G20*1000000)+(E20*1000)+(IF($B20="A",0.4,IF($B20="B",0.3,IF($B20="C",0.2,0.1))))</f>
        <v>-1.4999999995E+022</v>
      </c>
    </row>
    <row r="21" customFormat="false" ht="15" hidden="false" customHeight="true" outlineLevel="0" collapsed="false">
      <c r="A21" s="8" t="n">
        <v>5</v>
      </c>
      <c r="B21" s="8" t="s">
        <v>30</v>
      </c>
      <c r="C21" s="8" t="n">
        <v>5</v>
      </c>
      <c r="D21" s="8" t="n">
        <v>-5</v>
      </c>
      <c r="E21" s="8" t="n">
        <v>0</v>
      </c>
      <c r="F21" s="8" t="n">
        <v>0</v>
      </c>
      <c r="G21" s="8" t="n">
        <v>10</v>
      </c>
      <c r="H21" s="8" t="n">
        <v>0</v>
      </c>
      <c r="I21" s="8" t="n">
        <v>0</v>
      </c>
      <c r="J21" s="8" t="n">
        <v>5</v>
      </c>
      <c r="K21" s="1" t="n">
        <f aca="false">(-J21*1E+024)+(D21*1E+021)+(C21*1E+018)+(F21*1000000000000000)+(I21*1000000000000)+(H21*1000000000)+(G21*1000000)+(E21*1000)+(IF($B21="A",0.4,IF($B21="B",0.3,IF($B21="C",0.2,0.1))))</f>
        <v>-5.004995E+024</v>
      </c>
    </row>
    <row r="22" customFormat="false" ht="15" hidden="false" customHeight="true" outlineLevel="0" collapsed="false">
      <c r="A22" s="8" t="n">
        <v>6</v>
      </c>
      <c r="B22" s="8" t="s">
        <v>27</v>
      </c>
      <c r="C22" s="8" t="n">
        <v>0</v>
      </c>
      <c r="D22" s="8" t="n">
        <v>0</v>
      </c>
      <c r="E22" s="8" t="n">
        <v>0</v>
      </c>
      <c r="F22" s="8" t="n">
        <v>0</v>
      </c>
      <c r="G22" s="8" t="n">
        <v>10</v>
      </c>
      <c r="H22" s="8" t="n">
        <v>-15</v>
      </c>
      <c r="I22" s="8" t="n">
        <v>0</v>
      </c>
      <c r="J22" s="8" t="n">
        <v>-5</v>
      </c>
      <c r="K22" s="1" t="n">
        <f aca="false">(-J22*1E+024)+(D22*1E+021)+(C22*1E+018)+(F22*1000000000000000)+(I22*1000000000000)+(H22*1000000000)+(G22*1000000)+(E22*1000)+(IF($B22="A",0.4,IF($B22="B",0.3,IF($B22="C",0.2,0.1))))</f>
        <v>4.99999999999998E+024</v>
      </c>
    </row>
    <row r="23" customFormat="false" ht="15" hidden="false" customHeight="true" outlineLevel="0" collapsed="false">
      <c r="A23" s="8" t="n">
        <v>6</v>
      </c>
      <c r="B23" s="8" t="s">
        <v>28</v>
      </c>
      <c r="C23" s="8" t="n">
        <v>0</v>
      </c>
      <c r="D23" s="8" t="n">
        <v>0</v>
      </c>
      <c r="E23" s="8" t="n">
        <v>0</v>
      </c>
      <c r="F23" s="8" t="n">
        <v>0</v>
      </c>
      <c r="G23" s="8" t="n">
        <v>0</v>
      </c>
      <c r="H23" s="8" t="n">
        <v>-10</v>
      </c>
      <c r="I23" s="8" t="n">
        <v>5</v>
      </c>
      <c r="J23" s="8" t="n">
        <v>5</v>
      </c>
      <c r="K23" s="1" t="n">
        <f aca="false">(-J23*1E+024)+(D23*1E+021)+(C23*1E+018)+(F23*1000000000000000)+(I23*1000000000000)+(H23*1000000000)+(G23*1000000)+(E23*1000)+(IF($B23="A",0.4,IF($B23="B",0.3,IF($B23="C",0.2,0.1))))</f>
        <v>-4.99999999999501E+024</v>
      </c>
    </row>
    <row r="24" customFormat="false" ht="15" hidden="false" customHeight="true" outlineLevel="0" collapsed="false">
      <c r="A24" s="8" t="n">
        <v>6</v>
      </c>
      <c r="B24" s="8" t="s">
        <v>29</v>
      </c>
      <c r="C24" s="8" t="n">
        <v>-10</v>
      </c>
      <c r="D24" s="8" t="n">
        <v>0</v>
      </c>
      <c r="E24" s="8" t="n">
        <v>0</v>
      </c>
      <c r="F24" s="8" t="n">
        <v>0</v>
      </c>
      <c r="G24" s="8" t="n">
        <v>-15</v>
      </c>
      <c r="H24" s="8" t="n">
        <v>5</v>
      </c>
      <c r="I24" s="8" t="n">
        <v>0</v>
      </c>
      <c r="J24" s="8" t="n">
        <v>15</v>
      </c>
      <c r="K24" s="1" t="n">
        <f aca="false">(-J24*1E+024)+(D24*1E+021)+(C24*1E+018)+(F24*1000000000000000)+(I24*1000000000000)+(H24*1000000000)+(G24*1000000)+(E24*1000)+(IF($B24="A",0.4,IF($B24="B",0.3,IF($B24="C",0.2,0.1))))</f>
        <v>-1.500001E+025</v>
      </c>
    </row>
    <row r="25" customFormat="false" ht="15" hidden="false" customHeight="true" outlineLevel="0" collapsed="false">
      <c r="A25" s="8" t="n">
        <v>6</v>
      </c>
      <c r="B25" s="8" t="s">
        <v>30</v>
      </c>
      <c r="C25" s="8" t="n">
        <v>0</v>
      </c>
      <c r="D25" s="8" t="n">
        <v>-15</v>
      </c>
      <c r="E25" s="8" t="n">
        <v>0</v>
      </c>
      <c r="F25" s="8" t="n">
        <v>0</v>
      </c>
      <c r="G25" s="8" t="n">
        <v>10</v>
      </c>
      <c r="H25" s="8" t="n">
        <v>0</v>
      </c>
      <c r="I25" s="8" t="n">
        <v>0</v>
      </c>
      <c r="J25" s="8" t="n">
        <v>-10</v>
      </c>
      <c r="K25" s="1" t="n">
        <f aca="false">(-J25*1E+024)+(D25*1E+021)+(C25*1E+018)+(F25*1000000000000000)+(I25*1000000000000)+(H25*1000000000)+(G25*1000000)+(E25*1000)+(IF($B25="A",0.4,IF($B25="B",0.3,IF($B25="C",0.2,0.1))))</f>
        <v>9.985E+024</v>
      </c>
    </row>
    <row r="26" customFormat="false" ht="15" hidden="false" customHeight="true" outlineLevel="0" collapsed="false">
      <c r="A26" s="8" t="n">
        <v>7</v>
      </c>
      <c r="B26" s="8" t="s">
        <v>27</v>
      </c>
      <c r="C26" s="8" t="n">
        <v>10</v>
      </c>
      <c r="D26" s="8" t="n">
        <v>-15</v>
      </c>
      <c r="E26" s="8" t="n">
        <v>-10</v>
      </c>
      <c r="F26" s="8" t="n">
        <v>0</v>
      </c>
      <c r="G26" s="8" t="n">
        <v>0</v>
      </c>
      <c r="H26" s="8" t="n">
        <v>0</v>
      </c>
      <c r="I26" s="8" t="n">
        <v>15</v>
      </c>
      <c r="J26" s="8" t="n">
        <v>-15</v>
      </c>
      <c r="K26" s="1" t="n">
        <f aca="false">(-J26*1E+024)+(D26*1E+021)+(C26*1E+018)+(F26*1000000000000000)+(I26*1000000000000)+(H26*1000000000)+(G26*1000000)+(E26*1000)+(IF($B26="A",0.4,IF($B26="B",0.3,IF($B26="C",0.2,0.1))))</f>
        <v>1.4985010000015E+025</v>
      </c>
    </row>
    <row r="27" customFormat="false" ht="15" hidden="false" customHeight="true" outlineLevel="0" collapsed="false">
      <c r="A27" s="8" t="n">
        <v>7</v>
      </c>
      <c r="B27" s="8" t="s">
        <v>28</v>
      </c>
      <c r="C27" s="8" t="n">
        <v>-5</v>
      </c>
      <c r="D27" s="8" t="n">
        <v>-5</v>
      </c>
      <c r="E27" s="8" t="n">
        <v>0</v>
      </c>
      <c r="F27" s="8" t="n">
        <v>0</v>
      </c>
      <c r="G27" s="8" t="n">
        <v>0</v>
      </c>
      <c r="H27" s="8" t="n">
        <v>0</v>
      </c>
      <c r="I27" s="8" t="n">
        <v>-10</v>
      </c>
      <c r="J27" s="8" t="n">
        <v>15</v>
      </c>
      <c r="K27" s="1" t="n">
        <f aca="false">(-J27*1E+024)+(D27*1E+021)+(C27*1E+018)+(F27*1000000000000000)+(I27*1000000000000)+(H27*1000000000)+(G27*1000000)+(E27*1000)+(IF($B27="A",0.4,IF($B27="B",0.3,IF($B27="C",0.2,0.1))))</f>
        <v>-1.500500500001E+025</v>
      </c>
    </row>
    <row r="28" customFormat="false" ht="15" hidden="false" customHeight="true" outlineLevel="0" collapsed="false">
      <c r="A28" s="8" t="n">
        <v>7</v>
      </c>
      <c r="B28" s="8" t="s">
        <v>29</v>
      </c>
      <c r="C28" s="8" t="n">
        <v>5</v>
      </c>
      <c r="D28" s="8" t="n">
        <v>-10</v>
      </c>
      <c r="E28" s="8" t="n">
        <v>0</v>
      </c>
      <c r="F28" s="8" t="n">
        <v>0</v>
      </c>
      <c r="G28" s="8" t="n">
        <v>10</v>
      </c>
      <c r="H28" s="8" t="n">
        <v>0</v>
      </c>
      <c r="I28" s="8" t="n">
        <v>0</v>
      </c>
      <c r="J28" s="8" t="n">
        <v>10</v>
      </c>
      <c r="K28" s="1" t="n">
        <f aca="false">(-J28*1E+024)+(D28*1E+021)+(C28*1E+018)+(F28*1000000000000000)+(I28*1000000000000)+(H28*1000000000)+(G28*1000000)+(E28*1000)+(IF($B28="A",0.4,IF($B28="B",0.3,IF($B28="C",0.2,0.1))))</f>
        <v>-1.0009995E+025</v>
      </c>
    </row>
    <row r="29" customFormat="false" ht="15" hidden="false" customHeight="true" outlineLevel="0" collapsed="false">
      <c r="A29" s="8" t="n">
        <v>7</v>
      </c>
      <c r="B29" s="8" t="s">
        <v>30</v>
      </c>
      <c r="C29" s="8" t="n">
        <v>-5</v>
      </c>
      <c r="D29" s="8" t="n">
        <v>0</v>
      </c>
      <c r="E29" s="8" t="n">
        <v>10</v>
      </c>
      <c r="F29" s="8" t="n">
        <v>0</v>
      </c>
      <c r="G29" s="8" t="n">
        <v>0</v>
      </c>
      <c r="H29" s="8" t="n">
        <v>0</v>
      </c>
      <c r="I29" s="8" t="n">
        <v>-15</v>
      </c>
      <c r="J29" s="8" t="n">
        <v>15</v>
      </c>
      <c r="K29" s="1" t="n">
        <f aca="false">(-J29*1E+024)+(D29*1E+021)+(C29*1E+018)+(F29*1000000000000000)+(I29*1000000000000)+(H29*1000000000)+(G29*1000000)+(E29*1000)+(IF($B29="A",0.4,IF($B29="B",0.3,IF($B29="C",0.2,0.1))))</f>
        <v>-1.5000005000015E+025</v>
      </c>
    </row>
    <row r="30" customFormat="false" ht="15" hidden="false" customHeight="true" outlineLevel="0" collapsed="false">
      <c r="A30" s="8" t="n">
        <v>8</v>
      </c>
      <c r="B30" s="8" t="s">
        <v>27</v>
      </c>
      <c r="C30" s="8" t="n">
        <v>0</v>
      </c>
      <c r="D30" s="8" t="n">
        <v>-15</v>
      </c>
      <c r="E30" s="8" t="n">
        <v>0</v>
      </c>
      <c r="F30" s="8" t="n">
        <v>15</v>
      </c>
      <c r="G30" s="8" t="n">
        <v>0</v>
      </c>
      <c r="H30" s="8" t="n">
        <v>0</v>
      </c>
      <c r="I30" s="8" t="n">
        <v>0</v>
      </c>
      <c r="J30" s="8" t="n">
        <v>0</v>
      </c>
      <c r="K30" s="1" t="n">
        <f aca="false">(-J30*1E+024)+(D30*1E+021)+(C30*1E+018)+(F30*1000000000000000)+(I30*1000000000000)+(H30*1000000000)+(G30*1000000)+(E30*1000)+(IF($B30="A",0.4,IF($B30="B",0.3,IF($B30="C",0.2,0.1))))</f>
        <v>-1.4999985E+022</v>
      </c>
    </row>
    <row r="31" customFormat="false" ht="15" hidden="false" customHeight="true" outlineLevel="0" collapsed="false">
      <c r="A31" s="8" t="n">
        <v>8</v>
      </c>
      <c r="B31" s="8" t="s">
        <v>28</v>
      </c>
      <c r="C31" s="8" t="n">
        <v>-5</v>
      </c>
      <c r="D31" s="8" t="n">
        <v>0</v>
      </c>
      <c r="E31" s="8" t="n">
        <v>0</v>
      </c>
      <c r="F31" s="8" t="n">
        <v>-10</v>
      </c>
      <c r="G31" s="8" t="n">
        <v>0</v>
      </c>
      <c r="H31" s="8" t="n">
        <v>0</v>
      </c>
      <c r="I31" s="8" t="n">
        <v>0</v>
      </c>
      <c r="J31" s="8" t="n">
        <v>0</v>
      </c>
      <c r="K31" s="1" t="n">
        <f aca="false">(-J31*1E+024)+(D31*1E+021)+(C31*1E+018)+(F31*1000000000000000)+(I31*1000000000000)+(H31*1000000000)+(G31*1000000)+(E31*1000)+(IF($B31="A",0.4,IF($B31="B",0.3,IF($B31="C",0.2,0.1))))</f>
        <v>-5.01E+018</v>
      </c>
    </row>
    <row r="32" customFormat="false" ht="15" hidden="false" customHeight="true" outlineLevel="0" collapsed="false">
      <c r="A32" s="8" t="n">
        <v>8</v>
      </c>
      <c r="B32" s="8" t="s">
        <v>29</v>
      </c>
      <c r="C32" s="8" t="n">
        <v>5</v>
      </c>
      <c r="D32" s="8" t="n">
        <v>-10</v>
      </c>
      <c r="E32" s="8" t="n">
        <v>0</v>
      </c>
      <c r="F32" s="8" t="n">
        <v>5</v>
      </c>
      <c r="G32" s="8" t="n">
        <v>0</v>
      </c>
      <c r="H32" s="8" t="n">
        <v>0</v>
      </c>
      <c r="I32" s="8" t="n">
        <v>0</v>
      </c>
      <c r="J32" s="8" t="n">
        <v>-5</v>
      </c>
      <c r="K32" s="1" t="n">
        <f aca="false">(-J32*1E+024)+(D32*1E+021)+(C32*1E+018)+(F32*1000000000000000)+(I32*1000000000000)+(H32*1000000000)+(G32*1000000)+(E32*1000)+(IF($B32="A",0.4,IF($B32="B",0.3,IF($B32="C",0.2,0.1))))</f>
        <v>4.990005005E+024</v>
      </c>
    </row>
    <row r="33" customFormat="false" ht="15" hidden="false" customHeight="true" outlineLevel="0" collapsed="false">
      <c r="A33" s="8" t="n">
        <v>8</v>
      </c>
      <c r="B33" s="8" t="s">
        <v>30</v>
      </c>
      <c r="C33" s="8" t="n">
        <v>0</v>
      </c>
      <c r="D33" s="8" t="n">
        <v>-10</v>
      </c>
      <c r="E33" s="8" t="n">
        <v>0</v>
      </c>
      <c r="F33" s="8" t="n">
        <v>10</v>
      </c>
      <c r="G33" s="8" t="n">
        <v>0</v>
      </c>
      <c r="H33" s="8" t="n">
        <v>0</v>
      </c>
      <c r="I33" s="8" t="n">
        <v>0</v>
      </c>
      <c r="J33" s="8" t="n">
        <v>-5</v>
      </c>
      <c r="K33" s="1" t="n">
        <f aca="false">(-J33*1E+024)+(D33*1E+021)+(C33*1E+018)+(F33*1000000000000000)+(I33*1000000000000)+(H33*1000000000)+(G33*1000000)+(E33*1000)+(IF($B33="A",0.4,IF($B33="B",0.3,IF($B33="C",0.2,0.1))))</f>
        <v>4.99000001E+024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8"/>
    <col collapsed="false" customWidth="true" hidden="false" outlineLevel="0" max="2" min="2" style="1" width="14"/>
    <col collapsed="false" customWidth="true" hidden="false" outlineLevel="0" max="4" min="3" style="1" width="13"/>
    <col collapsed="false" customWidth="true" hidden="false" outlineLevel="0" max="6" min="5" style="1" width="8"/>
    <col collapsed="false" customWidth="true" hidden="false" outlineLevel="0" max="7" min="7" style="1" width="17"/>
    <col collapsed="false" customWidth="true" hidden="false" outlineLevel="0" max="8" min="8" style="1" width="45"/>
  </cols>
  <sheetData>
    <row r="1" customFormat="false" ht="15" hidden="false" customHeight="true" outlineLevel="0" collapsed="false">
      <c r="A1" s="7" t="s">
        <v>31</v>
      </c>
      <c r="B1" s="7" t="s">
        <v>32</v>
      </c>
      <c r="C1" s="7" t="s">
        <v>33</v>
      </c>
      <c r="D1" s="7" t="s">
        <v>34</v>
      </c>
      <c r="E1" s="7" t="s">
        <v>10</v>
      </c>
      <c r="F1" s="7" t="s">
        <v>35</v>
      </c>
      <c r="G1" s="7" t="s">
        <v>36</v>
      </c>
      <c r="H1" s="7" t="s">
        <v>37</v>
      </c>
    </row>
    <row r="2" customFormat="false" ht="15" hidden="false" customHeight="true" outlineLevel="0" collapsed="false">
      <c r="A2" s="8" t="n">
        <v>1</v>
      </c>
      <c r="B2" s="8" t="n">
        <v>1</v>
      </c>
      <c r="C2" s="8" t="s">
        <v>27</v>
      </c>
      <c r="D2" s="8" t="n">
        <v>2</v>
      </c>
      <c r="E2" s="8" t="s">
        <v>38</v>
      </c>
      <c r="F2" s="8" t="n">
        <v>5</v>
      </c>
      <c r="G2" s="9" t="b">
        <f aca="false">INDEX(Simulator!$B$3:$B$10,B2)=C2</f>
        <v>1</v>
      </c>
      <c r="H2" s="8" t="s">
        <v>39</v>
      </c>
    </row>
    <row r="3" customFormat="false" ht="15" hidden="false" customHeight="true" outlineLevel="0" collapsed="false">
      <c r="A3" s="8" t="n">
        <v>2</v>
      </c>
      <c r="B3" s="8" t="n">
        <v>1</v>
      </c>
      <c r="C3" s="8" t="s">
        <v>29</v>
      </c>
      <c r="D3" s="8" t="n">
        <v>2</v>
      </c>
      <c r="E3" s="8" t="s">
        <v>38</v>
      </c>
      <c r="F3" s="8" t="n">
        <v>5</v>
      </c>
      <c r="G3" s="9" t="b">
        <f aca="false">INDEX(Simulator!$B$3:$B$10,B3)=C3</f>
        <v>0</v>
      </c>
      <c r="H3" s="8" t="s">
        <v>39</v>
      </c>
    </row>
    <row r="4" customFormat="false" ht="15" hidden="false" customHeight="true" outlineLevel="0" collapsed="false">
      <c r="A4" s="8" t="n">
        <v>3</v>
      </c>
      <c r="B4" s="8" t="n">
        <v>1</v>
      </c>
      <c r="C4" s="8" t="s">
        <v>28</v>
      </c>
      <c r="D4" s="8" t="n">
        <v>2</v>
      </c>
      <c r="E4" s="8" t="s">
        <v>38</v>
      </c>
      <c r="F4" s="8" t="n">
        <v>-5</v>
      </c>
      <c r="G4" s="9" t="b">
        <f aca="false">INDEX(Simulator!$B$3:$B$10,B4)=C4</f>
        <v>0</v>
      </c>
      <c r="H4" s="8" t="s">
        <v>40</v>
      </c>
    </row>
    <row r="5" customFormat="false" ht="15" hidden="false" customHeight="true" outlineLevel="0" collapsed="false">
      <c r="A5" s="8" t="n">
        <v>4</v>
      </c>
      <c r="B5" s="8" t="n">
        <v>1</v>
      </c>
      <c r="C5" s="8" t="s">
        <v>28</v>
      </c>
      <c r="D5" s="8" t="n">
        <v>2</v>
      </c>
      <c r="E5" s="8" t="s">
        <v>41</v>
      </c>
      <c r="F5" s="8" t="n">
        <v>5</v>
      </c>
      <c r="G5" s="9" t="b">
        <f aca="false">INDEX(Simulator!$B$3:$B$10,B5)=C5</f>
        <v>0</v>
      </c>
      <c r="H5" s="8" t="s">
        <v>40</v>
      </c>
    </row>
    <row r="6" customFormat="false" ht="15" hidden="false" customHeight="true" outlineLevel="0" collapsed="false">
      <c r="A6" s="8" t="n">
        <v>5</v>
      </c>
      <c r="B6" s="8" t="n">
        <v>1</v>
      </c>
      <c r="C6" s="8" t="s">
        <v>30</v>
      </c>
      <c r="D6" s="8" t="n">
        <v>2</v>
      </c>
      <c r="E6" s="8" t="s">
        <v>38</v>
      </c>
      <c r="F6" s="8" t="n">
        <v>-5</v>
      </c>
      <c r="G6" s="9" t="b">
        <f aca="false">INDEX(Simulator!$B$3:$B$10,B6)=C6</f>
        <v>0</v>
      </c>
      <c r="H6" s="8" t="s">
        <v>42</v>
      </c>
    </row>
    <row r="7" customFormat="false" ht="15" hidden="false" customHeight="true" outlineLevel="0" collapsed="false">
      <c r="A7" s="8" t="n">
        <v>6</v>
      </c>
      <c r="B7" s="8" t="n">
        <v>1</v>
      </c>
      <c r="C7" s="8" t="s">
        <v>30</v>
      </c>
      <c r="D7" s="8" t="n">
        <v>2</v>
      </c>
      <c r="E7" s="8" t="s">
        <v>41</v>
      </c>
      <c r="F7" s="8" t="n">
        <v>5</v>
      </c>
      <c r="G7" s="9" t="b">
        <f aca="false">INDEX(Simulator!$B$3:$B$10,B7)=C7</f>
        <v>0</v>
      </c>
      <c r="H7" s="8" t="s">
        <v>42</v>
      </c>
    </row>
    <row r="8" customFormat="false" ht="15" hidden="false" customHeight="true" outlineLevel="0" collapsed="false">
      <c r="A8" s="8" t="n">
        <v>7</v>
      </c>
      <c r="B8" s="8" t="n">
        <v>2</v>
      </c>
      <c r="C8" s="8" t="s">
        <v>27</v>
      </c>
      <c r="D8" s="8" t="n">
        <v>5</v>
      </c>
      <c r="E8" s="8" t="s">
        <v>38</v>
      </c>
      <c r="F8" s="8" t="n">
        <v>10</v>
      </c>
      <c r="G8" s="9" t="b">
        <f aca="false">INDEX(Simulator!$B$3:$B$10,B8)=C8</f>
        <v>1</v>
      </c>
      <c r="H8" s="8" t="s">
        <v>43</v>
      </c>
    </row>
    <row r="9" customFormat="false" ht="15" hidden="false" customHeight="true" outlineLevel="0" collapsed="false">
      <c r="A9" s="8" t="n">
        <v>8</v>
      </c>
      <c r="B9" s="8" t="n">
        <v>2</v>
      </c>
      <c r="C9" s="8" t="s">
        <v>29</v>
      </c>
      <c r="D9" s="8" t="n">
        <v>5</v>
      </c>
      <c r="E9" s="8" t="s">
        <v>38</v>
      </c>
      <c r="F9" s="8" t="n">
        <v>10</v>
      </c>
      <c r="G9" s="9" t="b">
        <f aca="false">INDEX(Simulator!$B$3:$B$10,B9)=C9</f>
        <v>0</v>
      </c>
      <c r="H9" s="8" t="s">
        <v>43</v>
      </c>
    </row>
    <row r="10" customFormat="false" ht="15" hidden="false" customHeight="true" outlineLevel="0" collapsed="false">
      <c r="A10" s="8" t="n">
        <v>9</v>
      </c>
      <c r="B10" s="8" t="n">
        <v>2</v>
      </c>
      <c r="C10" s="8" t="s">
        <v>27</v>
      </c>
      <c r="D10" s="8" t="n">
        <v>5</v>
      </c>
      <c r="E10" s="8" t="s">
        <v>41</v>
      </c>
      <c r="F10" s="8" t="n">
        <v>-5</v>
      </c>
      <c r="G10" s="9" t="b">
        <f aca="false">INDEX(Simulator!$B$3:$B$10,B10)=C10</f>
        <v>1</v>
      </c>
      <c r="H10" s="8" t="s">
        <v>43</v>
      </c>
    </row>
    <row r="11" customFormat="false" ht="15" hidden="false" customHeight="true" outlineLevel="0" collapsed="false">
      <c r="A11" s="8" t="n">
        <v>10</v>
      </c>
      <c r="B11" s="8" t="n">
        <v>2</v>
      </c>
      <c r="C11" s="8" t="s">
        <v>29</v>
      </c>
      <c r="D11" s="8" t="n">
        <v>5</v>
      </c>
      <c r="E11" s="8" t="s">
        <v>41</v>
      </c>
      <c r="F11" s="8" t="n">
        <v>-5</v>
      </c>
      <c r="G11" s="9" t="b">
        <f aca="false">INDEX(Simulator!$B$3:$B$10,B11)=C11</f>
        <v>0</v>
      </c>
      <c r="H11" s="8" t="s">
        <v>43</v>
      </c>
    </row>
    <row r="12" customFormat="false" ht="15" hidden="false" customHeight="true" outlineLevel="0" collapsed="false">
      <c r="A12" s="8" t="n">
        <v>11</v>
      </c>
      <c r="B12" s="8" t="n">
        <v>2</v>
      </c>
      <c r="C12" s="8" t="s">
        <v>30</v>
      </c>
      <c r="D12" s="8" t="n">
        <v>5</v>
      </c>
      <c r="E12" s="8" t="s">
        <v>38</v>
      </c>
      <c r="F12" s="8" t="n">
        <v>5</v>
      </c>
      <c r="G12" s="9" t="b">
        <f aca="false">INDEX(Simulator!$B$3:$B$10,B12)=C12</f>
        <v>0</v>
      </c>
      <c r="H12" s="8" t="s">
        <v>44</v>
      </c>
    </row>
    <row r="13" customFormat="false" ht="15" hidden="false" customHeight="true" outlineLevel="0" collapsed="false">
      <c r="A13" s="8" t="n">
        <v>12</v>
      </c>
      <c r="B13" s="8" t="n">
        <v>2</v>
      </c>
      <c r="C13" s="8" t="s">
        <v>28</v>
      </c>
      <c r="D13" s="8" t="n">
        <v>5</v>
      </c>
      <c r="E13" s="8" t="s">
        <v>38</v>
      </c>
      <c r="F13" s="8" t="n">
        <v>-5</v>
      </c>
      <c r="G13" s="9" t="b">
        <f aca="false">INDEX(Simulator!$B$3:$B$10,B13)=C13</f>
        <v>0</v>
      </c>
      <c r="H13" s="8" t="s">
        <v>45</v>
      </c>
    </row>
    <row r="14" customFormat="false" ht="15" hidden="false" customHeight="true" outlineLevel="0" collapsed="false">
      <c r="A14" s="8" t="n">
        <v>13</v>
      </c>
      <c r="B14" s="8" t="n">
        <v>2</v>
      </c>
      <c r="C14" s="8" t="s">
        <v>28</v>
      </c>
      <c r="D14" s="8" t="n">
        <v>5</v>
      </c>
      <c r="E14" s="8" t="s">
        <v>41</v>
      </c>
      <c r="F14" s="8" t="n">
        <v>10</v>
      </c>
      <c r="G14" s="9" t="b">
        <f aca="false">INDEX(Simulator!$B$3:$B$10,B14)=C14</f>
        <v>0</v>
      </c>
      <c r="H14" s="8" t="s">
        <v>45</v>
      </c>
    </row>
    <row r="15" customFormat="false" ht="15" hidden="false" customHeight="true" outlineLevel="0" collapsed="false">
      <c r="A15" s="8" t="n">
        <v>14</v>
      </c>
      <c r="B15" s="8" t="n">
        <v>3</v>
      </c>
      <c r="C15" s="8" t="s">
        <v>27</v>
      </c>
      <c r="D15" s="8" t="n">
        <v>7</v>
      </c>
      <c r="E15" s="8" t="s">
        <v>41</v>
      </c>
      <c r="F15" s="8" t="n">
        <v>-5</v>
      </c>
      <c r="G15" s="9" t="b">
        <f aca="false">INDEX(Simulator!$B$3:$B$10,B15)=C15</f>
        <v>1</v>
      </c>
      <c r="H15" s="8" t="s">
        <v>46</v>
      </c>
    </row>
    <row r="16" customFormat="false" ht="15" hidden="false" customHeight="true" outlineLevel="0" collapsed="false">
      <c r="A16" s="8" t="n">
        <v>15</v>
      </c>
      <c r="B16" s="8" t="n">
        <v>3</v>
      </c>
      <c r="C16" s="8" t="s">
        <v>29</v>
      </c>
      <c r="D16" s="8" t="n">
        <v>7</v>
      </c>
      <c r="E16" s="8" t="s">
        <v>41</v>
      </c>
      <c r="F16" s="8" t="n">
        <v>-5</v>
      </c>
      <c r="G16" s="9" t="b">
        <f aca="false">INDEX(Simulator!$B$3:$B$10,B16)=C16</f>
        <v>0</v>
      </c>
      <c r="H16" s="8" t="s">
        <v>46</v>
      </c>
    </row>
    <row r="17" customFormat="false" ht="15" hidden="false" customHeight="true" outlineLevel="0" collapsed="false">
      <c r="A17" s="8" t="n">
        <v>16</v>
      </c>
      <c r="B17" s="8" t="n">
        <v>3</v>
      </c>
      <c r="C17" s="8" t="s">
        <v>28</v>
      </c>
      <c r="D17" s="8" t="n">
        <v>7</v>
      </c>
      <c r="E17" s="8" t="s">
        <v>41</v>
      </c>
      <c r="F17" s="8" t="n">
        <v>10</v>
      </c>
      <c r="G17" s="9" t="b">
        <f aca="false">INDEX(Simulator!$B$3:$B$10,B17)=C17</f>
        <v>0</v>
      </c>
      <c r="H17" s="8" t="s">
        <v>47</v>
      </c>
    </row>
    <row r="18" customFormat="false" ht="15" hidden="false" customHeight="true" outlineLevel="0" collapsed="false">
      <c r="A18" s="8" t="n">
        <v>17</v>
      </c>
      <c r="B18" s="8" t="n">
        <v>4</v>
      </c>
      <c r="C18" s="8" t="s">
        <v>27</v>
      </c>
      <c r="D18" s="8" t="n">
        <v>6</v>
      </c>
      <c r="E18" s="8" t="s">
        <v>41</v>
      </c>
      <c r="F18" s="8" t="n">
        <v>-5</v>
      </c>
      <c r="G18" s="9" t="b">
        <f aca="false">INDEX(Simulator!$B$3:$B$10,B18)=C18</f>
        <v>1</v>
      </c>
      <c r="H18" s="8" t="s">
        <v>48</v>
      </c>
    </row>
    <row r="19" customFormat="false" ht="15" hidden="false" customHeight="true" outlineLevel="0" collapsed="false">
      <c r="A19" s="8" t="n">
        <v>18</v>
      </c>
      <c r="B19" s="8" t="n">
        <v>4</v>
      </c>
      <c r="C19" s="8" t="s">
        <v>29</v>
      </c>
      <c r="D19" s="8" t="n">
        <v>6</v>
      </c>
      <c r="E19" s="8" t="s">
        <v>41</v>
      </c>
      <c r="F19" s="8" t="n">
        <v>-5</v>
      </c>
      <c r="G19" s="9" t="b">
        <f aca="false">INDEX(Simulator!$B$3:$B$10,B19)=C19</f>
        <v>0</v>
      </c>
      <c r="H19" s="8" t="s">
        <v>48</v>
      </c>
    </row>
    <row r="20" customFormat="false" ht="15" hidden="false" customHeight="true" outlineLevel="0" collapsed="false">
      <c r="A20" s="8" t="n">
        <v>19</v>
      </c>
      <c r="B20" s="8" t="n">
        <v>4</v>
      </c>
      <c r="C20" s="8" t="s">
        <v>28</v>
      </c>
      <c r="D20" s="8" t="n">
        <v>6</v>
      </c>
      <c r="E20" s="8" t="s">
        <v>41</v>
      </c>
      <c r="F20" s="8" t="n">
        <v>10</v>
      </c>
      <c r="G20" s="9" t="b">
        <f aca="false">INDEX(Simulator!$B$3:$B$10,B20)=C20</f>
        <v>0</v>
      </c>
      <c r="H20" s="8" t="s">
        <v>49</v>
      </c>
    </row>
    <row r="21" customFormat="false" ht="15" hidden="false" customHeight="true" outlineLevel="0" collapsed="false">
      <c r="A21" s="8" t="n">
        <v>20</v>
      </c>
      <c r="B21" s="8" t="n">
        <v>4</v>
      </c>
      <c r="C21" s="8" t="s">
        <v>30</v>
      </c>
      <c r="D21" s="8" t="n">
        <v>6</v>
      </c>
      <c r="E21" s="8" t="s">
        <v>41</v>
      </c>
      <c r="F21" s="8" t="n">
        <v>10</v>
      </c>
      <c r="G21" s="9" t="b">
        <f aca="false">INDEX(Simulator!$B$3:$B$10,B21)=C21</f>
        <v>0</v>
      </c>
      <c r="H21" s="8" t="s">
        <v>49</v>
      </c>
    </row>
    <row r="22" customFormat="false" ht="15" hidden="false" customHeight="true" outlineLevel="0" collapsed="false">
      <c r="A22" s="8" t="n">
        <v>21</v>
      </c>
      <c r="B22" s="8" t="n">
        <v>6</v>
      </c>
      <c r="C22" s="8" t="s">
        <v>27</v>
      </c>
      <c r="D22" s="8" t="n">
        <v>8</v>
      </c>
      <c r="E22" s="8" t="s">
        <v>41</v>
      </c>
      <c r="F22" s="8" t="n">
        <v>-5</v>
      </c>
      <c r="G22" s="9" t="b">
        <f aca="false">INDEX(Simulator!$B$3:$B$10,B22)=C22</f>
        <v>1</v>
      </c>
      <c r="H22" s="8" t="s">
        <v>50</v>
      </c>
    </row>
    <row r="23" customFormat="false" ht="15" hidden="false" customHeight="true" outlineLevel="0" collapsed="false">
      <c r="A23" s="8" t="n">
        <v>22</v>
      </c>
      <c r="B23" s="8" t="n">
        <v>6</v>
      </c>
      <c r="C23" s="8" t="s">
        <v>30</v>
      </c>
      <c r="D23" s="8" t="n">
        <v>8</v>
      </c>
      <c r="E23" s="8" t="s">
        <v>41</v>
      </c>
      <c r="F23" s="8" t="n">
        <v>-5</v>
      </c>
      <c r="G23" s="9" t="b">
        <f aca="false">INDEX(Simulator!$B$3:$B$10,B23)=C23</f>
        <v>0</v>
      </c>
      <c r="H23" s="8" t="s">
        <v>50</v>
      </c>
    </row>
    <row r="24" customFormat="false" ht="15" hidden="false" customHeight="true" outlineLevel="0" collapsed="false">
      <c r="A24" s="8" t="n">
        <v>23</v>
      </c>
      <c r="B24" s="8" t="n">
        <v>6</v>
      </c>
      <c r="C24" s="8" t="s">
        <v>27</v>
      </c>
      <c r="D24" s="8" t="n">
        <v>8</v>
      </c>
      <c r="E24" s="8" t="s">
        <v>51</v>
      </c>
      <c r="F24" s="8" t="n">
        <v>5</v>
      </c>
      <c r="G24" s="9" t="b">
        <f aca="false">INDEX(Simulator!$B$3:$B$10,B24)=C24</f>
        <v>1</v>
      </c>
      <c r="H24" s="8" t="s">
        <v>50</v>
      </c>
    </row>
    <row r="25" customFormat="false" ht="15" hidden="false" customHeight="true" outlineLevel="0" collapsed="false">
      <c r="A25" s="8" t="n">
        <v>24</v>
      </c>
      <c r="B25" s="8" t="n">
        <v>6</v>
      </c>
      <c r="C25" s="8" t="s">
        <v>30</v>
      </c>
      <c r="D25" s="8" t="n">
        <v>8</v>
      </c>
      <c r="E25" s="8" t="s">
        <v>51</v>
      </c>
      <c r="F25" s="8" t="n">
        <v>5</v>
      </c>
      <c r="G25" s="9" t="b">
        <f aca="false">INDEX(Simulator!$B$3:$B$10,B25)=C25</f>
        <v>0</v>
      </c>
      <c r="H25" s="8" t="s">
        <v>50</v>
      </c>
    </row>
    <row r="26" customFormat="false" ht="15" hidden="false" customHeight="true" outlineLevel="0" collapsed="false">
      <c r="A26" s="8" t="n">
        <v>25</v>
      </c>
      <c r="B26" s="8" t="n">
        <v>6</v>
      </c>
      <c r="C26" s="8" t="s">
        <v>29</v>
      </c>
      <c r="D26" s="8" t="n">
        <v>8</v>
      </c>
      <c r="E26" s="8" t="s">
        <v>41</v>
      </c>
      <c r="F26" s="8" t="n">
        <v>10</v>
      </c>
      <c r="G26" s="9" t="b">
        <f aca="false">INDEX(Simulator!$B$3:$B$10,B26)=C26</f>
        <v>0</v>
      </c>
      <c r="H26" s="8" t="s">
        <v>52</v>
      </c>
    </row>
    <row r="27" customFormat="false" ht="15" hidden="false" customHeight="true" outlineLevel="0" collapsed="false">
      <c r="A27" s="8" t="n">
        <v>26</v>
      </c>
      <c r="B27" s="8" t="n">
        <v>6</v>
      </c>
      <c r="C27" s="8" t="s">
        <v>29</v>
      </c>
      <c r="D27" s="8" t="n">
        <v>8</v>
      </c>
      <c r="E27" s="8" t="s">
        <v>51</v>
      </c>
      <c r="F27" s="8" t="n">
        <v>-5</v>
      </c>
      <c r="G27" s="9" t="b">
        <f aca="false">INDEX(Simulator!$B$3:$B$10,B27)=C27</f>
        <v>0</v>
      </c>
      <c r="H27" s="8" t="s">
        <v>52</v>
      </c>
    </row>
    <row r="28" customFormat="false" ht="15" hidden="false" customHeight="true" outlineLevel="0" collapsed="false">
      <c r="A28" s="8" t="n">
        <v>27</v>
      </c>
      <c r="B28" s="8" t="n">
        <v>7</v>
      </c>
      <c r="C28" s="8" t="s">
        <v>27</v>
      </c>
      <c r="D28" s="8" t="n">
        <v>8</v>
      </c>
      <c r="E28" s="8" t="s">
        <v>41</v>
      </c>
      <c r="F28" s="8" t="n">
        <v>-5</v>
      </c>
      <c r="G28" s="9" t="b">
        <f aca="false">INDEX(Simulator!$B$3:$B$10,B28)=C28</f>
        <v>1</v>
      </c>
      <c r="H28" s="8" t="s">
        <v>53</v>
      </c>
    </row>
    <row r="29" customFormat="false" ht="15" hidden="false" customHeight="true" outlineLevel="0" collapsed="false">
      <c r="A29" s="8" t="n">
        <v>28</v>
      </c>
      <c r="B29" s="8" t="n">
        <v>7</v>
      </c>
      <c r="C29" s="8" t="s">
        <v>29</v>
      </c>
      <c r="D29" s="8" t="n">
        <v>8</v>
      </c>
      <c r="E29" s="8" t="s">
        <v>41</v>
      </c>
      <c r="F29" s="8" t="n">
        <v>-5</v>
      </c>
      <c r="G29" s="9" t="b">
        <f aca="false">INDEX(Simulator!$B$3:$B$10,B29)=C29</f>
        <v>0</v>
      </c>
      <c r="H29" s="8" t="s">
        <v>53</v>
      </c>
    </row>
    <row r="30" customFormat="false" ht="15" hidden="false" customHeight="true" outlineLevel="0" collapsed="false">
      <c r="A30" s="8" t="n">
        <v>29</v>
      </c>
      <c r="B30" s="8" t="n">
        <v>7</v>
      </c>
      <c r="C30" s="8" t="s">
        <v>28</v>
      </c>
      <c r="D30" s="8" t="n">
        <v>8</v>
      </c>
      <c r="E30" s="8" t="s">
        <v>41</v>
      </c>
      <c r="F30" s="8" t="n">
        <v>10</v>
      </c>
      <c r="G30" s="9" t="b">
        <f aca="false">INDEX(Simulator!$B$3:$B$10,B30)=C30</f>
        <v>0</v>
      </c>
      <c r="H30" s="8" t="s">
        <v>54</v>
      </c>
    </row>
    <row r="31" customFormat="false" ht="15" hidden="false" customHeight="true" outlineLevel="0" collapsed="false">
      <c r="A31" s="8" t="n">
        <v>30</v>
      </c>
      <c r="B31" s="8" t="n">
        <v>7</v>
      </c>
      <c r="C31" s="8" t="s">
        <v>30</v>
      </c>
      <c r="D31" s="8" t="n">
        <v>8</v>
      </c>
      <c r="E31" s="8" t="s">
        <v>41</v>
      </c>
      <c r="F31" s="8" t="n">
        <v>10</v>
      </c>
      <c r="G31" s="9" t="b">
        <f aca="false">INDEX(Simulator!$B$3:$B$10,B31)=C31</f>
        <v>0</v>
      </c>
      <c r="H31" s="8" t="s">
        <v>54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2"/>
    <col collapsed="false" customWidth="true" hidden="false" outlineLevel="0" max="2" min="2" style="1" width="14"/>
    <col collapsed="false" customWidth="true" hidden="false" outlineLevel="0" max="10" min="3" style="1" width="15"/>
  </cols>
  <sheetData>
    <row r="1" customFormat="false" ht="15" hidden="false" customHeight="true" outlineLevel="0" collapsed="false">
      <c r="A1" s="7" t="s">
        <v>22</v>
      </c>
      <c r="B1" s="7" t="s">
        <v>55</v>
      </c>
      <c r="C1" s="7" t="s">
        <v>12</v>
      </c>
      <c r="D1" s="7" t="s">
        <v>13</v>
      </c>
      <c r="E1" s="7" t="s">
        <v>14</v>
      </c>
      <c r="F1" s="7" t="s">
        <v>15</v>
      </c>
      <c r="G1" s="7" t="s">
        <v>16</v>
      </c>
      <c r="H1" s="7" t="s">
        <v>24</v>
      </c>
      <c r="I1" s="7" t="s">
        <v>25</v>
      </c>
      <c r="J1" s="7" t="s">
        <v>19</v>
      </c>
    </row>
    <row r="2" customFormat="false" ht="15" hidden="false" customHeight="true" outlineLevel="0" collapsed="false">
      <c r="A2" s="3" t="s">
        <v>56</v>
      </c>
      <c r="C2" s="10" t="n">
        <f aca="false">'Legend &amp; Baseline'!B13</f>
        <v>55</v>
      </c>
      <c r="D2" s="10" t="n">
        <f aca="false">'Legend &amp; Baseline'!B14</f>
        <v>70</v>
      </c>
      <c r="E2" s="10" t="n">
        <f aca="false">'Legend &amp; Baseline'!B15</f>
        <v>55</v>
      </c>
      <c r="F2" s="10" t="n">
        <f aca="false">'Legend &amp; Baseline'!B16</f>
        <v>60</v>
      </c>
      <c r="G2" s="10" t="n">
        <f aca="false">'Legend &amp; Baseline'!B17</f>
        <v>50</v>
      </c>
      <c r="H2" s="10" t="n">
        <f aca="false">'Legend &amp; Baseline'!B18</f>
        <v>0</v>
      </c>
      <c r="I2" s="10" t="n">
        <f aca="false">'Legend &amp; Baseline'!B19</f>
        <v>0</v>
      </c>
      <c r="J2" s="10" t="n">
        <f aca="false">'Legend &amp; Baseline'!B20</f>
        <v>35</v>
      </c>
    </row>
    <row r="3" customFormat="false" ht="15" hidden="false" customHeight="true" outlineLevel="0" collapsed="false">
      <c r="A3" s="8" t="n">
        <v>1</v>
      </c>
      <c r="B3" s="10" t="s">
        <v>27</v>
      </c>
      <c r="C3" s="8" t="n">
        <f aca="false">MAX(0,MIN(100,C2+SUMIFS('Choice Effects'!$C$2:$C$33,'Choice Effects'!$A$2:$A$33,$A3,'Choice Effects'!$B$2:$B$33,$B3)+SUMIFS('Delayed Effects'!$F$2:$F$31,'Delayed Effects'!$D$2:$D$31,$A3,'Delayed Effects'!$E$2:$E$31,"RG",'Delayed Effects'!$G$2:$G$31,TRUE())))</f>
        <v>55</v>
      </c>
      <c r="D3" s="8" t="n">
        <f aca="false">MAX(0,MIN(100,D2+SUMIFS('Choice Effects'!$D$2:$D$33,'Choice Effects'!$A$2:$A$33,$A3,'Choice Effects'!$B$2:$B$33,$B3)+SUMIFS('Delayed Effects'!$F$2:$F$31,'Delayed Effects'!$D$2:$D$31,$A3,'Delayed Effects'!$E$2:$E$31,"Cash",'Delayed Effects'!$G$2:$G$31,TRUE())))</f>
        <v>60</v>
      </c>
      <c r="E3" s="8" t="n">
        <f aca="false">MAX(0,MIN(100,E2+SUMIFS('Choice Effects'!$E$2:$E$33,'Choice Effects'!$A$2:$A$33,$A3,'Choice Effects'!$B$2:$B$33,$B3)+SUMIFS('Delayed Effects'!$F$2:$F$31,'Delayed Effects'!$D$2:$D$31,$A3,'Delayed Effects'!$E$2:$E$31,"EE",'Delayed Effects'!$G$2:$G$31,TRUE())))</f>
        <v>55</v>
      </c>
      <c r="F3" s="8" t="n">
        <f aca="false">MAX(0,MIN(100,F2+SUMIFS('Choice Effects'!$F$2:$F$33,'Choice Effects'!$A$2:$A$33,$A3,'Choice Effects'!$B$2:$B$33,$B3)+SUMIFS('Delayed Effects'!$F$2:$F$31,'Delayed Effects'!$D$2:$D$31,$A3,'Delayed Effects'!$E$2:$E$31,"CX",'Delayed Effects'!$G$2:$G$31,TRUE())))</f>
        <v>60</v>
      </c>
      <c r="G3" s="8" t="n">
        <f aca="false">MAX(0,MIN(100,G2+SUMIFS('Choice Effects'!$G$2:$G$33,'Choice Effects'!$A$2:$A$33,$A3,'Choice Effects'!$B$2:$B$33,$B3)+SUMIFS('Delayed Effects'!$F$2:$F$31,'Delayed Effects'!$D$2:$D$31,$A3,'Delayed Effects'!$E$2:$E$31,"Comp",'Delayed Effects'!$G$2:$G$31,TRUE())))</f>
        <v>50</v>
      </c>
      <c r="H3" s="8" t="n">
        <f aca="false">MAX(0,MIN(100,H2+SUMIFS('Choice Effects'!$H$2:$H$33,'Choice Effects'!$A$2:$A$33,$A3,'Choice Effects'!$B$2:$B$33,$B3)+SUMIFS('Delayed Effects'!$F$2:$F$31,'Delayed Effects'!$D$2:$D$31,$A3,'Delayed Effects'!$E$2:$E$31,"Innov",'Delayed Effects'!$G$2:$G$31,TRUE())))</f>
        <v>0</v>
      </c>
      <c r="I3" s="8" t="n">
        <f aca="false">MAX(0,MIN(100,I2+SUMIFS('Choice Effects'!$I$2:$I$33,'Choice Effects'!$A$2:$A$33,$A3,'Choice Effects'!$B$2:$B$33,$B3)+SUMIFS('Delayed Effects'!$F$2:$F$31,'Delayed Effects'!$D$2:$D$31,$A3,'Delayed Effects'!$E$2:$E$31,"DV",'Delayed Effects'!$G$2:$G$31,TRUE())))</f>
        <v>10</v>
      </c>
      <c r="J3" s="8" t="n">
        <f aca="false">MAX(0,MIN(100,J2+SUMIFS('Choice Effects'!$J$2:$J$33,'Choice Effects'!$A$2:$A$33,$A3,'Choice Effects'!$B$2:$B$33,$B3)+SUMIFS('Delayed Effects'!$F$2:$F$30,'Delayed Effects'!$D$2:$D$30,$A3,'Delayed Effects'!$E$2:$E$30,"EF",'Delayed Effects'!$G$2:$G$30,TRUE())+'Legend &amp; Baseline'!$D$18))</f>
        <v>33</v>
      </c>
    </row>
    <row r="4" customFormat="false" ht="15" hidden="false" customHeight="true" outlineLevel="0" collapsed="false">
      <c r="A4" s="8" t="n">
        <v>2</v>
      </c>
      <c r="B4" s="10" t="s">
        <v>27</v>
      </c>
      <c r="C4" s="8" t="n">
        <f aca="false">MAX(0,MIN(100,C3+SUMIFS('Choice Effects'!$C$2:$C$33,'Choice Effects'!$A$2:$A$33,$A4,'Choice Effects'!$B$2:$B$33,$B4)+SUMIFS('Delayed Effects'!$F$2:$F$31,'Delayed Effects'!$D$2:$D$31,$A4,'Delayed Effects'!$E$2:$E$31,"RG",'Delayed Effects'!$G$2:$G$31,TRUE())))</f>
        <v>65</v>
      </c>
      <c r="D4" s="8" t="n">
        <f aca="false">MAX(0,MIN(100,D3+SUMIFS('Choice Effects'!$D$2:$D$33,'Choice Effects'!$A$2:$A$33,$A4,'Choice Effects'!$B$2:$B$33,$B4)+SUMIFS('Delayed Effects'!$F$2:$F$31,'Delayed Effects'!$D$2:$D$31,$A4,'Delayed Effects'!$E$2:$E$31,"Cash",'Delayed Effects'!$G$2:$G$31,TRUE())))</f>
        <v>50</v>
      </c>
      <c r="E4" s="8" t="n">
        <f aca="false">MAX(0,MIN(100,E3+SUMIFS('Choice Effects'!$E$2:$E$33,'Choice Effects'!$A$2:$A$33,$A4,'Choice Effects'!$B$2:$B$33,$B4)+SUMIFS('Delayed Effects'!$F$2:$F$31,'Delayed Effects'!$D$2:$D$31,$A4,'Delayed Effects'!$E$2:$E$31,"EE",'Delayed Effects'!$G$2:$G$31,TRUE())))</f>
        <v>55</v>
      </c>
      <c r="F4" s="8" t="n">
        <f aca="false">MAX(0,MIN(100,F3+SUMIFS('Choice Effects'!$F$2:$F$33,'Choice Effects'!$A$2:$A$33,$A4,'Choice Effects'!$B$2:$B$33,$B4)+SUMIFS('Delayed Effects'!$F$2:$F$31,'Delayed Effects'!$D$2:$D$31,$A4,'Delayed Effects'!$E$2:$E$31,"CX",'Delayed Effects'!$G$2:$G$31,TRUE())))</f>
        <v>60</v>
      </c>
      <c r="G4" s="8" t="n">
        <f aca="false">MAX(0,MIN(100,G3+SUMIFS('Choice Effects'!$G$2:$G$33,'Choice Effects'!$A$2:$A$33,$A4,'Choice Effects'!$B$2:$B$33,$B4)+SUMIFS('Delayed Effects'!$F$2:$F$31,'Delayed Effects'!$D$2:$D$31,$A4,'Delayed Effects'!$E$2:$E$31,"Comp",'Delayed Effects'!$G$2:$G$31,TRUE())))</f>
        <v>65</v>
      </c>
      <c r="H4" s="8" t="n">
        <f aca="false">MAX(0,MIN(100,H3+SUMIFS('Choice Effects'!$H$2:$H$33,'Choice Effects'!$A$2:$A$33,$A4,'Choice Effects'!$B$2:$B$33,$B4)+SUMIFS('Delayed Effects'!$F$2:$F$31,'Delayed Effects'!$D$2:$D$31,$A4,'Delayed Effects'!$E$2:$E$31,"Innov",'Delayed Effects'!$G$2:$G$31,TRUE())))</f>
        <v>0</v>
      </c>
      <c r="I4" s="8" t="n">
        <f aca="false">MAX(0,MIN(100,I3+SUMIFS('Choice Effects'!$I$2:$I$33,'Choice Effects'!$A$2:$A$33,$A4,'Choice Effects'!$B$2:$B$33,$B4)+SUMIFS('Delayed Effects'!$F$2:$F$31,'Delayed Effects'!$D$2:$D$31,$A4,'Delayed Effects'!$E$2:$E$31,"DV",'Delayed Effects'!$G$2:$G$31,TRUE())))</f>
        <v>10</v>
      </c>
      <c r="J4" s="8" t="n">
        <f aca="false">MAX(0,MIN(100,J3+SUMIFS('Choice Effects'!$J$2:$J$33,'Choice Effects'!$A$2:$A$33,$A4,'Choice Effects'!$B$2:$B$33,$B4)+SUMIFS('Delayed Effects'!$F$2:$F$30,'Delayed Effects'!$D$2:$D$30,$A4,'Delayed Effects'!$E$2:$E$30,"EF",'Delayed Effects'!$G$2:$G$30,TRUE())+'Legend &amp; Baseline'!$D$18))</f>
        <v>36</v>
      </c>
    </row>
    <row r="5" customFormat="false" ht="15" hidden="false" customHeight="true" outlineLevel="0" collapsed="false">
      <c r="A5" s="8" t="n">
        <v>3</v>
      </c>
      <c r="B5" s="10" t="s">
        <v>27</v>
      </c>
      <c r="C5" s="8" t="n">
        <f aca="false">MAX(0,MIN(100,C4+SUMIFS('Choice Effects'!$C$2:$C$33,'Choice Effects'!$A$2:$A$33,$A5,'Choice Effects'!$B$2:$B$33,$B5)+SUMIFS('Delayed Effects'!$F$2:$F$31,'Delayed Effects'!$D$2:$D$31,$A5,'Delayed Effects'!$E$2:$E$31,"RG",'Delayed Effects'!$G$2:$G$31,TRUE())))</f>
        <v>80</v>
      </c>
      <c r="D5" s="8" t="n">
        <f aca="false">MAX(0,MIN(100,D4+SUMIFS('Choice Effects'!$D$2:$D$33,'Choice Effects'!$A$2:$A$33,$A5,'Choice Effects'!$B$2:$B$33,$B5)+SUMIFS('Delayed Effects'!$F$2:$F$31,'Delayed Effects'!$D$2:$D$31,$A5,'Delayed Effects'!$E$2:$E$31,"Cash",'Delayed Effects'!$G$2:$G$31,TRUE())))</f>
        <v>35</v>
      </c>
      <c r="E5" s="8" t="n">
        <f aca="false">MAX(0,MIN(100,E4+SUMIFS('Choice Effects'!$E$2:$E$33,'Choice Effects'!$A$2:$A$33,$A5,'Choice Effects'!$B$2:$B$33,$B5)+SUMIFS('Delayed Effects'!$F$2:$F$31,'Delayed Effects'!$D$2:$D$31,$A5,'Delayed Effects'!$E$2:$E$31,"EE",'Delayed Effects'!$G$2:$G$31,TRUE())))</f>
        <v>55</v>
      </c>
      <c r="F5" s="8" t="n">
        <f aca="false">MAX(0,MIN(100,F4+SUMIFS('Choice Effects'!$F$2:$F$33,'Choice Effects'!$A$2:$A$33,$A5,'Choice Effects'!$B$2:$B$33,$B5)+SUMIFS('Delayed Effects'!$F$2:$F$31,'Delayed Effects'!$D$2:$D$31,$A5,'Delayed Effects'!$E$2:$E$31,"CX",'Delayed Effects'!$G$2:$G$31,TRUE())))</f>
        <v>60</v>
      </c>
      <c r="G5" s="8" t="n">
        <f aca="false">MAX(0,MIN(100,G4+SUMIFS('Choice Effects'!$G$2:$G$33,'Choice Effects'!$A$2:$A$33,$A5,'Choice Effects'!$B$2:$B$33,$B5)+SUMIFS('Delayed Effects'!$F$2:$F$31,'Delayed Effects'!$D$2:$D$31,$A5,'Delayed Effects'!$E$2:$E$31,"Comp",'Delayed Effects'!$G$2:$G$31,TRUE())))</f>
        <v>65</v>
      </c>
      <c r="H5" s="8" t="n">
        <f aca="false">MAX(0,MIN(100,H4+SUMIFS('Choice Effects'!$H$2:$H$33,'Choice Effects'!$A$2:$A$33,$A5,'Choice Effects'!$B$2:$B$33,$B5)+SUMIFS('Delayed Effects'!$F$2:$F$31,'Delayed Effects'!$D$2:$D$31,$A5,'Delayed Effects'!$E$2:$E$31,"Innov",'Delayed Effects'!$G$2:$G$31,TRUE())))</f>
        <v>0</v>
      </c>
      <c r="I5" s="8" t="n">
        <f aca="false">MAX(0,MIN(100,I4+SUMIFS('Choice Effects'!$I$2:$I$33,'Choice Effects'!$A$2:$A$33,$A5,'Choice Effects'!$B$2:$B$33,$B5)+SUMIFS('Delayed Effects'!$F$2:$F$31,'Delayed Effects'!$D$2:$D$31,$A5,'Delayed Effects'!$E$2:$E$31,"DV",'Delayed Effects'!$G$2:$G$31,TRUE())))</f>
        <v>10</v>
      </c>
      <c r="J5" s="8" t="n">
        <f aca="false">MAX(0,MIN(100,J4+SUMIFS('Choice Effects'!$J$2:$J$33,'Choice Effects'!$A$2:$A$33,$A5,'Choice Effects'!$B$2:$B$33,$B5)+SUMIFS('Delayed Effects'!$F$2:$F$30,'Delayed Effects'!$D$2:$D$30,$A5,'Delayed Effects'!$E$2:$E$30,"EF",'Delayed Effects'!$G$2:$G$30,TRUE())+'Legend &amp; Baseline'!$D$18))</f>
        <v>49</v>
      </c>
    </row>
    <row r="6" customFormat="false" ht="15" hidden="false" customHeight="true" outlineLevel="0" collapsed="false">
      <c r="A6" s="8" t="n">
        <v>4</v>
      </c>
      <c r="B6" s="10" t="s">
        <v>27</v>
      </c>
      <c r="C6" s="8" t="n">
        <f aca="false">MAX(0,MIN(100,C5+SUMIFS('Choice Effects'!$C$2:$C$33,'Choice Effects'!$A$2:$A$33,$A6,'Choice Effects'!$B$2:$B$33,$B6)+SUMIFS('Delayed Effects'!$F$2:$F$31,'Delayed Effects'!$D$2:$D$31,$A6,'Delayed Effects'!$E$2:$E$31,"RG",'Delayed Effects'!$G$2:$G$31,TRUE())))</f>
        <v>80</v>
      </c>
      <c r="D6" s="8" t="n">
        <f aca="false">MAX(0,MIN(100,D5+SUMIFS('Choice Effects'!$D$2:$D$33,'Choice Effects'!$A$2:$A$33,$A6,'Choice Effects'!$B$2:$B$33,$B6)+SUMIFS('Delayed Effects'!$F$2:$F$31,'Delayed Effects'!$D$2:$D$31,$A6,'Delayed Effects'!$E$2:$E$31,"Cash",'Delayed Effects'!$G$2:$G$31,TRUE())))</f>
        <v>35</v>
      </c>
      <c r="E6" s="8" t="n">
        <f aca="false">MAX(0,MIN(100,E5+SUMIFS('Choice Effects'!$E$2:$E$33,'Choice Effects'!$A$2:$A$33,$A6,'Choice Effects'!$B$2:$B$33,$B6)+SUMIFS('Delayed Effects'!$F$2:$F$31,'Delayed Effects'!$D$2:$D$31,$A6,'Delayed Effects'!$E$2:$E$31,"EE",'Delayed Effects'!$G$2:$G$31,TRUE())))</f>
        <v>55</v>
      </c>
      <c r="F6" s="8" t="n">
        <f aca="false">MAX(0,MIN(100,F5+SUMIFS('Choice Effects'!$F$2:$F$33,'Choice Effects'!$A$2:$A$33,$A6,'Choice Effects'!$B$2:$B$33,$B6)+SUMIFS('Delayed Effects'!$F$2:$F$31,'Delayed Effects'!$D$2:$D$31,$A6,'Delayed Effects'!$E$2:$E$31,"CX",'Delayed Effects'!$G$2:$G$31,TRUE())))</f>
        <v>60</v>
      </c>
      <c r="G6" s="8" t="n">
        <f aca="false">MAX(0,MIN(100,G5+SUMIFS('Choice Effects'!$G$2:$G$33,'Choice Effects'!$A$2:$A$33,$A6,'Choice Effects'!$B$2:$B$33,$B6)+SUMIFS('Delayed Effects'!$F$2:$F$31,'Delayed Effects'!$D$2:$D$31,$A6,'Delayed Effects'!$E$2:$E$31,"Comp",'Delayed Effects'!$G$2:$G$31,TRUE())))</f>
        <v>75</v>
      </c>
      <c r="H6" s="8" t="n">
        <f aca="false">MAX(0,MIN(100,H5+SUMIFS('Choice Effects'!$H$2:$H$33,'Choice Effects'!$A$2:$A$33,$A6,'Choice Effects'!$B$2:$B$33,$B6)+SUMIFS('Delayed Effects'!$F$2:$F$31,'Delayed Effects'!$D$2:$D$31,$A6,'Delayed Effects'!$E$2:$E$31,"Innov",'Delayed Effects'!$G$2:$G$31,TRUE())))</f>
        <v>0</v>
      </c>
      <c r="I6" s="8" t="n">
        <f aca="false">MAX(0,MIN(100,I5+SUMIFS('Choice Effects'!$I$2:$I$33,'Choice Effects'!$A$2:$A$33,$A6,'Choice Effects'!$B$2:$B$33,$B6)+SUMIFS('Delayed Effects'!$F$2:$F$31,'Delayed Effects'!$D$2:$D$31,$A6,'Delayed Effects'!$E$2:$E$31,"DV",'Delayed Effects'!$G$2:$G$31,TRUE())))</f>
        <v>10</v>
      </c>
      <c r="J6" s="8" t="n">
        <f aca="false">MAX(0,MIN(100,J5+SUMIFS('Choice Effects'!$J$2:$J$33,'Choice Effects'!$A$2:$A$33,$A6,'Choice Effects'!$B$2:$B$33,$B6)+SUMIFS('Delayed Effects'!$F$2:$F$30,'Delayed Effects'!$D$2:$D$30,$A6,'Delayed Effects'!$E$2:$E$30,"EF",'Delayed Effects'!$G$2:$G$30,TRUE())+'Legend &amp; Baseline'!$D$18))</f>
        <v>47</v>
      </c>
    </row>
    <row r="7" customFormat="false" ht="15" hidden="false" customHeight="true" outlineLevel="0" collapsed="false">
      <c r="A7" s="8" t="n">
        <v>5</v>
      </c>
      <c r="B7" s="10" t="s">
        <v>27</v>
      </c>
      <c r="C7" s="8" t="n">
        <f aca="false">MAX(0,MIN(100,C6+SUMIFS('Choice Effects'!$C$2:$C$33,'Choice Effects'!$A$2:$A$33,$A7,'Choice Effects'!$B$2:$B$33,$B7)+SUMIFS('Delayed Effects'!$F$2:$F$31,'Delayed Effects'!$D$2:$D$31,$A7,'Delayed Effects'!$E$2:$E$31,"RG",'Delayed Effects'!$G$2:$G$31,TRUE())))</f>
        <v>85</v>
      </c>
      <c r="D7" s="8" t="n">
        <f aca="false">MAX(0,MIN(100,D6+SUMIFS('Choice Effects'!$D$2:$D$33,'Choice Effects'!$A$2:$A$33,$A7,'Choice Effects'!$B$2:$B$33,$B7)+SUMIFS('Delayed Effects'!$F$2:$F$31,'Delayed Effects'!$D$2:$D$31,$A7,'Delayed Effects'!$E$2:$E$31,"Cash",'Delayed Effects'!$G$2:$G$31,TRUE())))</f>
        <v>25</v>
      </c>
      <c r="E7" s="8" t="n">
        <f aca="false">MAX(0,MIN(100,E6+SUMIFS('Choice Effects'!$E$2:$E$33,'Choice Effects'!$A$2:$A$33,$A7,'Choice Effects'!$B$2:$B$33,$B7)+SUMIFS('Delayed Effects'!$F$2:$F$31,'Delayed Effects'!$D$2:$D$31,$A7,'Delayed Effects'!$E$2:$E$31,"EE",'Delayed Effects'!$G$2:$G$31,TRUE())))</f>
        <v>55</v>
      </c>
      <c r="F7" s="8" t="n">
        <f aca="false">MAX(0,MIN(100,F6+SUMIFS('Choice Effects'!$F$2:$F$33,'Choice Effects'!$A$2:$A$33,$A7,'Choice Effects'!$B$2:$B$33,$B7)+SUMIFS('Delayed Effects'!$F$2:$F$31,'Delayed Effects'!$D$2:$D$31,$A7,'Delayed Effects'!$E$2:$E$31,"CX",'Delayed Effects'!$G$2:$G$31,TRUE())))</f>
        <v>60</v>
      </c>
      <c r="G7" s="8" t="n">
        <f aca="false">MAX(0,MIN(100,G6+SUMIFS('Choice Effects'!$G$2:$G$33,'Choice Effects'!$A$2:$A$33,$A7,'Choice Effects'!$B$2:$B$33,$B7)+SUMIFS('Delayed Effects'!$F$2:$F$31,'Delayed Effects'!$D$2:$D$31,$A7,'Delayed Effects'!$E$2:$E$31,"Comp",'Delayed Effects'!$G$2:$G$31,TRUE())))</f>
        <v>100</v>
      </c>
      <c r="H7" s="8" t="n">
        <f aca="false">MAX(0,MIN(100,H6+SUMIFS('Choice Effects'!$H$2:$H$33,'Choice Effects'!$A$2:$A$33,$A7,'Choice Effects'!$B$2:$B$33,$B7)+SUMIFS('Delayed Effects'!$F$2:$F$31,'Delayed Effects'!$D$2:$D$31,$A7,'Delayed Effects'!$E$2:$E$31,"Innov",'Delayed Effects'!$G$2:$G$31,TRUE())))</f>
        <v>0</v>
      </c>
      <c r="I7" s="8" t="n">
        <f aca="false">MAX(0,MIN(100,I6+SUMIFS('Choice Effects'!$I$2:$I$33,'Choice Effects'!$A$2:$A$33,$A7,'Choice Effects'!$B$2:$B$33,$B7)+SUMIFS('Delayed Effects'!$F$2:$F$31,'Delayed Effects'!$D$2:$D$31,$A7,'Delayed Effects'!$E$2:$E$31,"DV",'Delayed Effects'!$G$2:$G$31,TRUE())))</f>
        <v>5</v>
      </c>
      <c r="J7" s="8" t="n">
        <f aca="false">MAX(0,MIN(100,J6+SUMIFS('Choice Effects'!$J$2:$J$33,'Choice Effects'!$A$2:$A$33,$A7,'Choice Effects'!$B$2:$B$33,$B7)+SUMIFS('Delayed Effects'!$F$2:$F$30,'Delayed Effects'!$D$2:$D$30,$A7,'Delayed Effects'!$E$2:$E$30,"EF",'Delayed Effects'!$G$2:$G$30,TRUE())+'Legend &amp; Baseline'!$D$18))</f>
        <v>45</v>
      </c>
    </row>
    <row r="8" customFormat="false" ht="15" hidden="false" customHeight="true" outlineLevel="0" collapsed="false">
      <c r="A8" s="8" t="n">
        <v>6</v>
      </c>
      <c r="B8" s="10" t="s">
        <v>27</v>
      </c>
      <c r="C8" s="8" t="n">
        <f aca="false">MAX(0,MIN(100,C7+SUMIFS('Choice Effects'!$C$2:$C$33,'Choice Effects'!$A$2:$A$33,$A8,'Choice Effects'!$B$2:$B$33,$B8)+SUMIFS('Delayed Effects'!$F$2:$F$31,'Delayed Effects'!$D$2:$D$31,$A8,'Delayed Effects'!$E$2:$E$31,"RG",'Delayed Effects'!$G$2:$G$31,TRUE())))</f>
        <v>85</v>
      </c>
      <c r="D8" s="8" t="n">
        <f aca="false">MAX(0,MIN(100,D7+SUMIFS('Choice Effects'!$D$2:$D$33,'Choice Effects'!$A$2:$A$33,$A8,'Choice Effects'!$B$2:$B$33,$B8)+SUMIFS('Delayed Effects'!$F$2:$F$31,'Delayed Effects'!$D$2:$D$31,$A8,'Delayed Effects'!$E$2:$E$31,"Cash",'Delayed Effects'!$G$2:$G$31,TRUE())))</f>
        <v>25</v>
      </c>
      <c r="E8" s="8" t="n">
        <f aca="false">MAX(0,MIN(100,E7+SUMIFS('Choice Effects'!$E$2:$E$33,'Choice Effects'!$A$2:$A$33,$A8,'Choice Effects'!$B$2:$B$33,$B8)+SUMIFS('Delayed Effects'!$F$2:$F$31,'Delayed Effects'!$D$2:$D$31,$A8,'Delayed Effects'!$E$2:$E$31,"EE",'Delayed Effects'!$G$2:$G$31,TRUE())))</f>
        <v>55</v>
      </c>
      <c r="F8" s="8" t="n">
        <f aca="false">MAX(0,MIN(100,F7+SUMIFS('Choice Effects'!$F$2:$F$33,'Choice Effects'!$A$2:$A$33,$A8,'Choice Effects'!$B$2:$B$33,$B8)+SUMIFS('Delayed Effects'!$F$2:$F$31,'Delayed Effects'!$D$2:$D$31,$A8,'Delayed Effects'!$E$2:$E$31,"CX",'Delayed Effects'!$G$2:$G$31,TRUE())))</f>
        <v>60</v>
      </c>
      <c r="G8" s="8" t="n">
        <f aca="false">MAX(0,MIN(100,G7+SUMIFS('Choice Effects'!$G$2:$G$33,'Choice Effects'!$A$2:$A$33,$A8,'Choice Effects'!$B$2:$B$33,$B8)+SUMIFS('Delayed Effects'!$F$2:$F$31,'Delayed Effects'!$D$2:$D$31,$A8,'Delayed Effects'!$E$2:$E$31,"Comp",'Delayed Effects'!$G$2:$G$31,TRUE())))</f>
        <v>100</v>
      </c>
      <c r="H8" s="8" t="n">
        <f aca="false">MAX(0,MIN(100,H7+SUMIFS('Choice Effects'!$H$2:$H$33,'Choice Effects'!$A$2:$A$33,$A8,'Choice Effects'!$B$2:$B$33,$B8)+SUMIFS('Delayed Effects'!$F$2:$F$31,'Delayed Effects'!$D$2:$D$31,$A8,'Delayed Effects'!$E$2:$E$31,"Innov",'Delayed Effects'!$G$2:$G$31,TRUE())))</f>
        <v>0</v>
      </c>
      <c r="I8" s="8" t="n">
        <f aca="false">MAX(0,MIN(100,I7+SUMIFS('Choice Effects'!$I$2:$I$33,'Choice Effects'!$A$2:$A$33,$A8,'Choice Effects'!$B$2:$B$33,$B8)+SUMIFS('Delayed Effects'!$F$2:$F$31,'Delayed Effects'!$D$2:$D$31,$A8,'Delayed Effects'!$E$2:$E$31,"DV",'Delayed Effects'!$G$2:$G$31,TRUE())))</f>
        <v>5</v>
      </c>
      <c r="J8" s="8" t="n">
        <f aca="false">MAX(0,MIN(100,J7+SUMIFS('Choice Effects'!$J$2:$J$33,'Choice Effects'!$A$2:$A$33,$A8,'Choice Effects'!$B$2:$B$33,$B8)+SUMIFS('Delayed Effects'!$F$2:$F$30,'Delayed Effects'!$D$2:$D$30,$A8,'Delayed Effects'!$E$2:$E$30,"EF",'Delayed Effects'!$G$2:$G$30,TRUE())+'Legend &amp; Baseline'!$D$18))</f>
        <v>38</v>
      </c>
    </row>
    <row r="9" customFormat="false" ht="15" hidden="false" customHeight="true" outlineLevel="0" collapsed="false">
      <c r="A9" s="8" t="n">
        <v>7</v>
      </c>
      <c r="B9" s="10" t="s">
        <v>27</v>
      </c>
      <c r="C9" s="8" t="n">
        <f aca="false">MAX(0,MIN(100,C8+SUMIFS('Choice Effects'!$C$2:$C$33,'Choice Effects'!$A$2:$A$33,$A9,'Choice Effects'!$B$2:$B$33,$B9)+SUMIFS('Delayed Effects'!$F$2:$F$31,'Delayed Effects'!$D$2:$D$31,$A9,'Delayed Effects'!$E$2:$E$31,"RG",'Delayed Effects'!$G$2:$G$31,TRUE())))</f>
        <v>95</v>
      </c>
      <c r="D9" s="8" t="n">
        <f aca="false">MAX(0,MIN(100,D8+SUMIFS('Choice Effects'!$D$2:$D$33,'Choice Effects'!$A$2:$A$33,$A9,'Choice Effects'!$B$2:$B$33,$B9)+SUMIFS('Delayed Effects'!$F$2:$F$31,'Delayed Effects'!$D$2:$D$31,$A9,'Delayed Effects'!$E$2:$E$31,"Cash",'Delayed Effects'!$G$2:$G$31,TRUE())))</f>
        <v>10</v>
      </c>
      <c r="E9" s="8" t="n">
        <f aca="false">MAX(0,MIN(100,E8+SUMIFS('Choice Effects'!$E$2:$E$33,'Choice Effects'!$A$2:$A$33,$A9,'Choice Effects'!$B$2:$B$33,$B9)+SUMIFS('Delayed Effects'!$F$2:$F$31,'Delayed Effects'!$D$2:$D$31,$A9,'Delayed Effects'!$E$2:$E$31,"EE",'Delayed Effects'!$G$2:$G$31,TRUE())))</f>
        <v>45</v>
      </c>
      <c r="F9" s="8" t="n">
        <f aca="false">MAX(0,MIN(100,F8+SUMIFS('Choice Effects'!$F$2:$F$33,'Choice Effects'!$A$2:$A$33,$A9,'Choice Effects'!$B$2:$B$33,$B9)+SUMIFS('Delayed Effects'!$F$2:$F$31,'Delayed Effects'!$D$2:$D$31,$A9,'Delayed Effects'!$E$2:$E$31,"CX",'Delayed Effects'!$G$2:$G$31,TRUE())))</f>
        <v>60</v>
      </c>
      <c r="G9" s="8" t="n">
        <f aca="false">MAX(0,MIN(100,G8+SUMIFS('Choice Effects'!$G$2:$G$33,'Choice Effects'!$A$2:$A$33,$A9,'Choice Effects'!$B$2:$B$33,$B9)+SUMIFS('Delayed Effects'!$F$2:$F$31,'Delayed Effects'!$D$2:$D$31,$A9,'Delayed Effects'!$E$2:$E$31,"Comp",'Delayed Effects'!$G$2:$G$31,TRUE())))</f>
        <v>100</v>
      </c>
      <c r="H9" s="8" t="n">
        <f aca="false">MAX(0,MIN(100,H8+SUMIFS('Choice Effects'!$H$2:$H$33,'Choice Effects'!$A$2:$A$33,$A9,'Choice Effects'!$B$2:$B$33,$B9)+SUMIFS('Delayed Effects'!$F$2:$F$31,'Delayed Effects'!$D$2:$D$31,$A9,'Delayed Effects'!$E$2:$E$31,"Innov",'Delayed Effects'!$G$2:$G$31,TRUE())))</f>
        <v>0</v>
      </c>
      <c r="I9" s="8" t="n">
        <f aca="false">MAX(0,MIN(100,I8+SUMIFS('Choice Effects'!$I$2:$I$33,'Choice Effects'!$A$2:$A$33,$A9,'Choice Effects'!$B$2:$B$33,$B9)+SUMIFS('Delayed Effects'!$F$2:$F$31,'Delayed Effects'!$D$2:$D$31,$A9,'Delayed Effects'!$E$2:$E$31,"DV",'Delayed Effects'!$G$2:$G$31,TRUE())))</f>
        <v>20</v>
      </c>
      <c r="J9" s="8" t="n">
        <f aca="false">MAX(0,MIN(100,J8+SUMIFS('Choice Effects'!$J$2:$J$33,'Choice Effects'!$A$2:$A$33,$A9,'Choice Effects'!$B$2:$B$33,$B9)+SUMIFS('Delayed Effects'!$F$2:$F$30,'Delayed Effects'!$D$2:$D$30,$A9,'Delayed Effects'!$E$2:$E$30,"EF",'Delayed Effects'!$G$2:$G$30,TRUE())+'Legend &amp; Baseline'!$D$18))</f>
        <v>21</v>
      </c>
    </row>
    <row r="10" customFormat="false" ht="15" hidden="false" customHeight="true" outlineLevel="0" collapsed="false">
      <c r="A10" s="8" t="n">
        <v>8</v>
      </c>
      <c r="B10" s="10" t="s">
        <v>27</v>
      </c>
      <c r="C10" s="8" t="n">
        <f aca="false">MAX(0,MIN(100,C9+SUMIFS('Choice Effects'!$C$2:$C$33,'Choice Effects'!$A$2:$A$33,$A10,'Choice Effects'!$B$2:$B$33,$B10)+SUMIFS('Delayed Effects'!$F$2:$F$31,'Delayed Effects'!$D$2:$D$31,$A10,'Delayed Effects'!$E$2:$E$31,"RG",'Delayed Effects'!$G$2:$G$31,TRUE())))</f>
        <v>95</v>
      </c>
      <c r="D10" s="8" t="n">
        <f aca="false">MAX(0,MIN(100,D9+SUMIFS('Choice Effects'!$D$2:$D$33,'Choice Effects'!$A$2:$A$33,$A10,'Choice Effects'!$B$2:$B$33,$B10)+SUMIFS('Delayed Effects'!$F$2:$F$31,'Delayed Effects'!$D$2:$D$31,$A10,'Delayed Effects'!$E$2:$E$31,"Cash",'Delayed Effects'!$G$2:$G$31,TRUE())))</f>
        <v>0</v>
      </c>
      <c r="E10" s="8" t="n">
        <f aca="false">MAX(0,MIN(100,E9+SUMIFS('Choice Effects'!$E$2:$E$33,'Choice Effects'!$A$2:$A$33,$A10,'Choice Effects'!$B$2:$B$33,$B10)+SUMIFS('Delayed Effects'!$F$2:$F$31,'Delayed Effects'!$D$2:$D$31,$A10,'Delayed Effects'!$E$2:$E$31,"EE",'Delayed Effects'!$G$2:$G$31,TRUE())))</f>
        <v>45</v>
      </c>
      <c r="F10" s="8" t="n">
        <f aca="false">MAX(0,MIN(100,F9+SUMIFS('Choice Effects'!$F$2:$F$33,'Choice Effects'!$A$2:$A$33,$A10,'Choice Effects'!$B$2:$B$33,$B10)+SUMIFS('Delayed Effects'!$F$2:$F$31,'Delayed Effects'!$D$2:$D$31,$A10,'Delayed Effects'!$E$2:$E$31,"CX",'Delayed Effects'!$G$2:$G$31,TRUE())))</f>
        <v>75</v>
      </c>
      <c r="G10" s="8" t="n">
        <f aca="false">MAX(0,MIN(100,G9+SUMIFS('Choice Effects'!$G$2:$G$33,'Choice Effects'!$A$2:$A$33,$A10,'Choice Effects'!$B$2:$B$33,$B10)+SUMIFS('Delayed Effects'!$F$2:$F$31,'Delayed Effects'!$D$2:$D$31,$A10,'Delayed Effects'!$E$2:$E$31,"Comp",'Delayed Effects'!$G$2:$G$31,TRUE())))</f>
        <v>100</v>
      </c>
      <c r="H10" s="8" t="n">
        <f aca="false">MAX(0,MIN(100,H9+SUMIFS('Choice Effects'!$H$2:$H$33,'Choice Effects'!$A$2:$A$33,$A10,'Choice Effects'!$B$2:$B$33,$B10)+SUMIFS('Delayed Effects'!$F$2:$F$31,'Delayed Effects'!$D$2:$D$31,$A10,'Delayed Effects'!$E$2:$E$31,"Innov",'Delayed Effects'!$G$2:$G$31,TRUE())))</f>
        <v>0</v>
      </c>
      <c r="I10" s="8" t="n">
        <f aca="false">MAX(0,MIN(100,I9+SUMIFS('Choice Effects'!$I$2:$I$33,'Choice Effects'!$A$2:$A$33,$A10,'Choice Effects'!$B$2:$B$33,$B10)+SUMIFS('Delayed Effects'!$F$2:$F$31,'Delayed Effects'!$D$2:$D$31,$A10,'Delayed Effects'!$E$2:$E$31,"DV",'Delayed Effects'!$G$2:$G$31,TRUE())))</f>
        <v>25</v>
      </c>
      <c r="J10" s="8" t="n">
        <f aca="false">MAX(0,MIN(100,J9+SUMIFS('Choice Effects'!$J$2:$J$33,'Choice Effects'!$A$2:$A$33,$A10,'Choice Effects'!$B$2:$B$33,$B10)+SUMIFS('Delayed Effects'!$F$2:$F$30,'Delayed Effects'!$D$2:$D$30,$A10,'Delayed Effects'!$E$2:$E$30,"EF",'Delayed Effects'!$G$2:$G$30,TRUE())+'Legend &amp; Baseline'!$D$18))</f>
        <v>14</v>
      </c>
    </row>
    <row r="12" customFormat="false" ht="15" hidden="false" customHeight="true" outlineLevel="0" collapsed="false">
      <c r="A12" s="3" t="s">
        <v>57</v>
      </c>
      <c r="C12" s="11" t="n">
        <f aca="false">C10-C2</f>
        <v>40</v>
      </c>
      <c r="D12" s="11" t="n">
        <f aca="false">D10-D2</f>
        <v>-70</v>
      </c>
      <c r="E12" s="11" t="n">
        <f aca="false">E10-E2</f>
        <v>-10</v>
      </c>
      <c r="F12" s="11" t="n">
        <f aca="false">F10-F2</f>
        <v>15</v>
      </c>
      <c r="G12" s="11" t="n">
        <f aca="false">G10-G2</f>
        <v>50</v>
      </c>
      <c r="H12" s="11" t="n">
        <f aca="false">H10-H2</f>
        <v>0</v>
      </c>
      <c r="I12" s="11" t="n">
        <f aca="false">I10-I2</f>
        <v>25</v>
      </c>
      <c r="J12" s="11" t="n">
        <f aca="false">J10-J2</f>
        <v>-21</v>
      </c>
    </row>
    <row r="14" customFormat="false" ht="15" hidden="false" customHeight="true" outlineLevel="0" collapsed="false">
      <c r="A14" s="4" t="s">
        <v>58</v>
      </c>
      <c r="B14" s="4"/>
      <c r="C14" s="4"/>
      <c r="D14" s="4"/>
      <c r="E14" s="4"/>
      <c r="F14" s="4"/>
      <c r="G14" s="4"/>
      <c r="H14" s="4"/>
      <c r="I14" s="4"/>
      <c r="J14" s="4"/>
    </row>
  </sheetData>
  <mergeCells count="1">
    <mergeCell ref="A14:J1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0"/>
    <col collapsed="false" customWidth="true" hidden="false" outlineLevel="0" max="5" min="2" style="1" width="8"/>
  </cols>
  <sheetData>
    <row r="1" customFormat="false" ht="15.75" hidden="false" customHeight="true" outlineLevel="0" collapsed="false">
      <c r="A1" s="12" t="s">
        <v>59</v>
      </c>
      <c r="B1" s="12"/>
      <c r="C1" s="12"/>
      <c r="D1" s="12"/>
      <c r="E1" s="12"/>
      <c r="F1" s="12"/>
    </row>
    <row r="3" customFormat="false" ht="15" hidden="false" customHeight="true" outlineLevel="0" collapsed="false">
      <c r="A3" s="3" t="s">
        <v>60</v>
      </c>
    </row>
    <row r="4" customFormat="false" ht="54.75" hidden="false" customHeight="true" outlineLevel="0" collapsed="false">
      <c r="A4" s="4" t="s">
        <v>61</v>
      </c>
      <c r="B4" s="4"/>
      <c r="C4" s="4"/>
      <c r="D4" s="4"/>
      <c r="E4" s="4"/>
      <c r="F4" s="4"/>
      <c r="G4" s="4"/>
      <c r="H4" s="4"/>
    </row>
    <row r="6" customFormat="false" ht="15" hidden="false" customHeight="true" outlineLevel="0" collapsed="false">
      <c r="A6" s="13" t="s">
        <v>22</v>
      </c>
      <c r="B6" s="13" t="s">
        <v>62</v>
      </c>
      <c r="C6" s="13" t="s">
        <v>63</v>
      </c>
      <c r="D6" s="13" t="s">
        <v>64</v>
      </c>
      <c r="E6" s="13" t="s">
        <v>65</v>
      </c>
    </row>
    <row r="7" customFormat="false" ht="15" hidden="false" customHeight="true" outlineLevel="0" collapsed="false">
      <c r="A7" s="1" t="n">
        <v>1</v>
      </c>
      <c r="B7" s="1" t="str">
        <f aca="false">INDEX('Choice Effects'!$B$2:$B$5,MATCH(LARGE('Choice Effects'!$K$2:$K$5,1),'Choice Effects'!$K$2:$K$5,0))</f>
        <v>C</v>
      </c>
      <c r="C7" s="1" t="str">
        <f aca="false">INDEX('Choice Effects'!$B$2:$B$5,MATCH(LARGE('Choice Effects'!$K$2:$K$5,2),'Choice Effects'!$K$2:$K$5,0))</f>
        <v>A</v>
      </c>
      <c r="D7" s="1" t="str">
        <f aca="false">INDEX('Choice Effects'!$B$2:$B$5,MATCH(LARGE('Choice Effects'!$K$2:$K$5,3),'Choice Effects'!$K$2:$K$5,0))</f>
        <v>B</v>
      </c>
      <c r="E7" s="1" t="str">
        <f aca="false">INDEX('Choice Effects'!$B$2:$B$5,MATCH(LARGE('Choice Effects'!$K$2:$K$5,4),'Choice Effects'!$K$2:$K$5,0))</f>
        <v>D</v>
      </c>
    </row>
    <row r="8" customFormat="false" ht="15" hidden="false" customHeight="true" outlineLevel="0" collapsed="false">
      <c r="A8" s="1" t="n">
        <v>2</v>
      </c>
      <c r="B8" s="1" t="str">
        <f aca="false">INDEX('Choice Effects'!$B$6:$B$9,MATCH(LARGE('Choice Effects'!$K$6:$K$9,1),'Choice Effects'!$K$6:$K$9,0))</f>
        <v>D</v>
      </c>
      <c r="C8" s="1" t="str">
        <f aca="false">INDEX('Choice Effects'!$B$6:$B$9,MATCH(LARGE('Choice Effects'!$K$6:$K$9,2),'Choice Effects'!$K$6:$K$9,0))</f>
        <v>C</v>
      </c>
      <c r="D8" s="1" t="str">
        <f aca="false">INDEX('Choice Effects'!$B$6:$B$9,MATCH(LARGE('Choice Effects'!$K$6:$K$9,3),'Choice Effects'!$K$6:$K$9,0))</f>
        <v>B</v>
      </c>
      <c r="E8" s="1" t="str">
        <f aca="false">INDEX('Choice Effects'!$B$6:$B$9,MATCH(LARGE('Choice Effects'!$K$6:$K$9,4),'Choice Effects'!$K$6:$K$9,0))</f>
        <v>A</v>
      </c>
    </row>
    <row r="9" customFormat="false" ht="15" hidden="false" customHeight="true" outlineLevel="0" collapsed="false">
      <c r="A9" s="1" t="n">
        <v>3</v>
      </c>
      <c r="B9" s="1" t="str">
        <f aca="false">INDEX('Choice Effects'!$B$10:$B$13,MATCH(LARGE('Choice Effects'!$K$10:$K$13,1),'Choice Effects'!$K$10:$K$13,0))</f>
        <v>D</v>
      </c>
      <c r="C9" s="1" t="str">
        <f aca="false">INDEX('Choice Effects'!$B$10:$B$13,MATCH(LARGE('Choice Effects'!$K$10:$K$13,2),'Choice Effects'!$K$10:$K$13,0))</f>
        <v>B</v>
      </c>
      <c r="D9" s="1" t="str">
        <f aca="false">INDEX('Choice Effects'!$B$10:$B$13,MATCH(LARGE('Choice Effects'!$K$10:$K$13,3),'Choice Effects'!$K$10:$K$13,0))</f>
        <v>C</v>
      </c>
      <c r="E9" s="1" t="str">
        <f aca="false">INDEX('Choice Effects'!$B$10:$B$13,MATCH(LARGE('Choice Effects'!$K$10:$K$13,4),'Choice Effects'!$K$10:$K$13,0))</f>
        <v>A</v>
      </c>
    </row>
    <row r="10" customFormat="false" ht="15" hidden="false" customHeight="true" outlineLevel="0" collapsed="false">
      <c r="A10" s="1" t="n">
        <v>4</v>
      </c>
      <c r="B10" s="1" t="str">
        <f aca="false">INDEX('Choice Effects'!$B$14:$B$17,MATCH(LARGE('Choice Effects'!$K$14:$K$17,1),'Choice Effects'!$K$14:$K$17,0))</f>
        <v>A</v>
      </c>
      <c r="C10" s="1" t="str">
        <f aca="false">INDEX('Choice Effects'!$B$14:$B$17,MATCH(LARGE('Choice Effects'!$K$14:$K$17,2),'Choice Effects'!$K$14:$K$17,0))</f>
        <v>C</v>
      </c>
      <c r="D10" s="1" t="str">
        <f aca="false">INDEX('Choice Effects'!$B$14:$B$17,MATCH(LARGE('Choice Effects'!$K$14:$K$17,3),'Choice Effects'!$K$14:$K$17,0))</f>
        <v>B</v>
      </c>
      <c r="E10" s="1" t="str">
        <f aca="false">INDEX('Choice Effects'!$B$14:$B$17,MATCH(LARGE('Choice Effects'!$K$14:$K$17,4),'Choice Effects'!$K$14:$K$17,0))</f>
        <v>D</v>
      </c>
    </row>
    <row r="11" customFormat="false" ht="15" hidden="false" customHeight="true" outlineLevel="0" collapsed="false">
      <c r="A11" s="1" t="n">
        <v>5</v>
      </c>
      <c r="B11" s="1" t="str">
        <f aca="false">INDEX('Choice Effects'!$B$18:$B$21,MATCH(LARGE('Choice Effects'!$K$18:$K$21,1),'Choice Effects'!$K$18:$K$21,0))</f>
        <v>A</v>
      </c>
      <c r="C11" s="1" t="str">
        <f aca="false">INDEX('Choice Effects'!$B$18:$B$21,MATCH(LARGE('Choice Effects'!$K$18:$K$21,2),'Choice Effects'!$K$18:$K$21,0))</f>
        <v>C</v>
      </c>
      <c r="D11" s="1" t="str">
        <f aca="false">INDEX('Choice Effects'!$B$18:$B$21,MATCH(LARGE('Choice Effects'!$K$18:$K$21,3),'Choice Effects'!$K$18:$K$21,0))</f>
        <v>D</v>
      </c>
      <c r="E11" s="1" t="str">
        <f aca="false">INDEX('Choice Effects'!$B$18:$B$21,MATCH(LARGE('Choice Effects'!$K$18:$K$21,4),'Choice Effects'!$K$18:$K$21,0))</f>
        <v>B</v>
      </c>
    </row>
    <row r="12" customFormat="false" ht="15" hidden="false" customHeight="true" outlineLevel="0" collapsed="false">
      <c r="A12" s="1" t="n">
        <v>6</v>
      </c>
      <c r="B12" s="1" t="str">
        <f aca="false">INDEX('Choice Effects'!$B$22:$B$25,MATCH(LARGE('Choice Effects'!$K$22:$K$25,1),'Choice Effects'!$K$22:$K$25,0))</f>
        <v>D</v>
      </c>
      <c r="C12" s="1" t="str">
        <f aca="false">INDEX('Choice Effects'!$B$22:$B$25,MATCH(LARGE('Choice Effects'!$K$22:$K$25,2),'Choice Effects'!$K$22:$K$25,0))</f>
        <v>A</v>
      </c>
      <c r="D12" s="1" t="str">
        <f aca="false">INDEX('Choice Effects'!$B$22:$B$25,MATCH(LARGE('Choice Effects'!$K$22:$K$25,3),'Choice Effects'!$K$22:$K$25,0))</f>
        <v>B</v>
      </c>
      <c r="E12" s="1" t="str">
        <f aca="false">INDEX('Choice Effects'!$B$22:$B$25,MATCH(LARGE('Choice Effects'!$K$22:$K$25,4),'Choice Effects'!$K$22:$K$25,0))</f>
        <v>C</v>
      </c>
    </row>
    <row r="13" customFormat="false" ht="15" hidden="false" customHeight="true" outlineLevel="0" collapsed="false">
      <c r="A13" s="1" t="n">
        <v>7</v>
      </c>
      <c r="B13" s="1" t="str">
        <f aca="false">INDEX('Choice Effects'!$B$26:$B$29,MATCH(LARGE('Choice Effects'!$K$26:$K$29,1),'Choice Effects'!$K$26:$K$29,0))</f>
        <v>A</v>
      </c>
      <c r="C13" s="1" t="str">
        <f aca="false">INDEX('Choice Effects'!$B$26:$B$29,MATCH(LARGE('Choice Effects'!$K$26:$K$29,2),'Choice Effects'!$K$26:$K$29,0))</f>
        <v>C</v>
      </c>
      <c r="D13" s="1" t="str">
        <f aca="false">INDEX('Choice Effects'!$B$26:$B$29,MATCH(LARGE('Choice Effects'!$K$26:$K$29,3),'Choice Effects'!$K$26:$K$29,0))</f>
        <v>D</v>
      </c>
      <c r="E13" s="1" t="str">
        <f aca="false">INDEX('Choice Effects'!$B$26:$B$29,MATCH(LARGE('Choice Effects'!$K$26:$K$29,4),'Choice Effects'!$K$26:$K$29,0))</f>
        <v>B</v>
      </c>
    </row>
    <row r="14" customFormat="false" ht="15" hidden="false" customHeight="true" outlineLevel="0" collapsed="false">
      <c r="A14" s="1" t="n">
        <v>8</v>
      </c>
      <c r="B14" s="1" t="str">
        <f aca="false">INDEX('Choice Effects'!$B$30:$B$33,MATCH(LARGE('Choice Effects'!$K$30:$K$33,1),'Choice Effects'!$K$30:$K$33,0))</f>
        <v>C</v>
      </c>
      <c r="C14" s="1" t="str">
        <f aca="false">INDEX('Choice Effects'!$B$30:$B$33,MATCH(LARGE('Choice Effects'!$K$30:$K$33,2),'Choice Effects'!$K$30:$K$33,0))</f>
        <v>D</v>
      </c>
      <c r="D14" s="1" t="str">
        <f aca="false">INDEX('Choice Effects'!$B$30:$B$33,MATCH(LARGE('Choice Effects'!$K$30:$K$33,3),'Choice Effects'!$K$30:$K$33,0))</f>
        <v>B</v>
      </c>
      <c r="E14" s="1" t="str">
        <f aca="false">INDEX('Choice Effects'!$B$30:$B$33,MATCH(LARGE('Choice Effects'!$K$30:$K$33,4),'Choice Effects'!$K$30:$K$33,0))</f>
        <v>A</v>
      </c>
    </row>
  </sheetData>
  <mergeCells count="2">
    <mergeCell ref="A1:F1"/>
    <mergeCell ref="A4:H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2026-08-01T15:55:40Z</dcterms:created>
  <dc:creator>openpyxl</dc:creator>
  <dc:description/>
  <dc:language>en-US</dc:language>
  <cp:lastModifiedBy/>
  <dcterms:modified xsi:type="dcterms:W3CDTF">2026-08-01T16:34:58Z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